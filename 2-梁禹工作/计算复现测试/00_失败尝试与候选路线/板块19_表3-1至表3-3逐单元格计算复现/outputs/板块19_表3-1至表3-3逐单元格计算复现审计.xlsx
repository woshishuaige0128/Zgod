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c4771f2b8d46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a06f1916ff214f89"/>
    <x:sheet xmlns:r="http://schemas.openxmlformats.org/officeDocument/2006/relationships" name="论文合同" sheetId="2" r:id="R9e0b812e29294762"/>
    <x:sheet xmlns:r="http://schemas.openxmlformats.org/officeDocument/2006/relationships" name="频率输入" sheetId="3" r:id="R3bef6f5da0e745df"/>
    <x:sheet xmlns:r="http://schemas.openxmlformats.org/officeDocument/2006/relationships" name="表3-1计算" sheetId="4" r:id="R0e552159c82942ff"/>
    <x:sheet xmlns:r="http://schemas.openxmlformats.org/officeDocument/2006/relationships" name="MAC向量输入" sheetId="5" r:id="R9614810531d34e59"/>
    <x:sheet xmlns:r="http://schemas.openxmlformats.org/officeDocument/2006/relationships" name="表3-2计算" sheetId="6" r:id="R01af748f423247c6"/>
    <x:sheet xmlns:r="http://schemas.openxmlformats.org/officeDocument/2006/relationships" name="NRMSE聚合输入" sheetId="7" r:id="R10488790dc9b469a"/>
    <x:sheet xmlns:r="http://schemas.openxmlformats.org/officeDocument/2006/relationships" name="表3-3计算" sheetId="8" r:id="R7600dce9768d40fe"/>
    <x:sheet xmlns:r="http://schemas.openxmlformats.org/officeDocument/2006/relationships" name="逐格证据" sheetId="9" r:id="Radae67ce86f34578"/>
    <x:sheet xmlns:r="http://schemas.openxmlformats.org/officeDocument/2006/relationships" name="来源哈希" sheetId="10" r:id="R16f530baa40943b7"/>
    <x:sheet xmlns:r="http://schemas.openxmlformats.org/officeDocument/2006/relationships" name="验收检查" sheetId="11" r:id="R2c910ed9600046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00000000E+00"/>
    <x:numFmt numFmtId="201" formatCode="0.000000000000"/>
    <x:numFmt numFmtId="202" formatCode="0"/>
    <x:numFmt numFmtId="203" formatCode="0.000000"/>
    <x:numFmt numFmtId="204" formatCode="#,##0"/>
  </x:numFmts>
  <x:fonts count="14">
    <x:font>
      <x:sz val="11"/>
      <x:name val="Carlito"/>
    </x:font>
    <x:font>
      <x:b/>
      <x:sz val="16"/>
      <x:color rgb="FFFFFFFF"/>
      <x:name val="Microsoft YaHei"/>
    </x:font>
    <x:font>
      <x:i/>
      <x:sz val="10"/>
      <x:color rgb="FF16324F"/>
      <x:name val="Microsoft YaHei"/>
    </x:font>
    <x:font>
      <x:b/>
      <x:sz val="11"/>
      <x:color rgb="FFFFFFFF"/>
      <x:name val="Carlito"/>
    </x:font>
    <x:font>
      <x:b/>
      <x:sz val="11"/>
      <x:color rgb="FF16324F"/>
      <x:name val="Carlito"/>
    </x:font>
    <x:font>
      <x:b/>
      <x:sz val="10"/>
      <x:color rgb="FFFFFFFF"/>
      <x:name val="Microsoft YaHei"/>
    </x:font>
    <x:font>
      <x:b/>
      <x:sz val="9"/>
      <x:color rgb="FFFFFFFF"/>
      <x:name val="Microsoft YaHei"/>
    </x:font>
    <x:font>
      <x:sz val="9"/>
      <x:name val="Microsoft YaHei"/>
    </x:font>
    <x:font>
      <x:b/>
      <x:sz val="9"/>
      <x:color rgb="FF1D4ED8"/>
      <x:name val="Microsoft YaHei"/>
    </x:font>
    <x:font>
      <x:sz val="9"/>
      <x:color rgb="FF1D4ED8"/>
      <x:name val="Microsoft YaHei"/>
    </x:font>
    <x:font>
      <x:b/>
      <x:sz val="11"/>
      <x:color rgb="FF166534"/>
      <x:name val="Carlito"/>
    </x:font>
    <x:font>
      <x:b/>
      <x:sz val="11"/>
      <x:color rgb="FF9A4D00"/>
      <x:name val="Carlito"/>
    </x:font>
    <x:font>
      <x:b/>
      <x:sz val="9"/>
      <x:color rgb="FF166534"/>
      <x:name val="Microsoft YaHei"/>
    </x:font>
    <x:font>
      <x:b/>
      <x:sz val="9"/>
      <x:color rgb="FF9A4D00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F"/>
      </x:patternFill>
    </x:fill>
    <x:fill>
      <x:patternFill patternType="solid">
        <x:fgColor rgb="FF0F766E"/>
      </x:patternFill>
    </x:fill>
    <x:fill>
      <x:patternFill patternType="solid">
        <x:fgColor rgb="FFF3F4F6"/>
      </x:patternFill>
    </x:fill>
    <x:fill>
      <x:patternFill patternType="solid">
        <x:fgColor rgb="FF9A4D00"/>
      </x:patternFill>
    </x:fill>
    <x:fill>
      <x:patternFill patternType="solid">
        <x:fgColor rgb="FFE8F5E9"/>
      </x:patternFill>
    </x:fill>
    <x:fill>
      <x:patternFill patternType="solid">
        <x:fgColor rgb="FFFFF4E5"/>
      </x:patternFill>
    </x:fill>
  </x:fills>
  <x:borders count="1">
    <x:border/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 wrapText="1"/>
    </x:xf>
    <x:xf numFmtId="200" fontId="8" fillId="3" borderId="0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vertical="center" wrapText="1"/>
    </x:xf>
    <x:xf numFmtId="201" fontId="9" fillId="3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0" fillId="8" borderId="0" xfId="0" applyNumberFormat="1" applyFont="1" applyFill="1" applyBorder="1"/>
    <x:xf numFmtId="0" fontId="11" fillId="8" borderId="0" xfId="0" applyNumberFormat="1" applyFont="1" applyFill="1" applyBorder="1"/>
    <x:xf numFmtId="0" fontId="12" fillId="7" borderId="0" xfId="0" applyNumberFormat="1" applyFont="1" applyFill="1" applyBorder="1"/>
    <x:xf numFmtId="0" fontId="13" fillId="8" borderId="0" xfId="0" applyNumberFormat="1" applyFont="1" applyFill="1" applyBorder="1"/>
    <x:xf numFmtId="0" fontId="12" fillId="7" borderId="0" xfId="0" applyNumberFormat="1" applyFont="1" applyFill="1" applyBorder="1" applyAlignment="1">
      <x:alignment vertical="center"/>
    </x:xf>
    <x:xf numFmtId="0" fontId="13" fillId="8" borderId="0" xfId="0" applyNumberFormat="1" applyFont="1" applyFill="1" applyBorder="1" applyAlignment="1">
      <x:alignment vertical="center"/>
    </x:xf>
    <x:xf numFmtId="0" fontId="12" fillId="7" borderId="0" xfId="0" applyNumberFormat="1" applyFont="1" applyFill="1" applyBorder="1" applyAlignment="1">
      <x:alignment vertical="center" wrapText="1"/>
    </x:xf>
    <x:xf numFmtId="0" fontId="13" fillId="8" borderId="0" xfId="0" applyNumberFormat="1" applyFont="1" applyFill="1" applyBorder="1" applyAlignment="1">
      <x:alignment vertical="center" wrapText="1"/>
    </x:xf>
    <x:xf numFmtId="201" fontId="7" fillId="0" borderId="0" xfId="0" applyNumberFormat="1" applyFont="1" applyFill="1" applyBorder="1" applyAlignment="1">
      <x:alignment vertical="center" wrapText="1"/>
    </x:xf>
    <x:xf numFmtId="201" fontId="12" fillId="7" borderId="0" xfId="0" applyNumberFormat="1" applyFont="1" applyFill="1" applyBorder="1" applyAlignment="1">
      <x:alignment vertical="center" wrapText="1"/>
    </x:xf>
    <x:xf numFmtId="201" fontId="13" fillId="8" borderId="0" xfId="0" applyNumberFormat="1" applyFont="1" applyFill="1" applyBorder="1" applyAlignment="1">
      <x:alignment vertical="center" wrapText="1"/>
    </x:xf>
    <x:xf numFmtId="202" fontId="9" fillId="3" borderId="0" xfId="0" applyNumberFormat="1" applyFont="1" applyFill="1" applyBorder="1" applyAlignment="1">
      <x:alignment vertical="center" wrapText="1"/>
    </x:xf>
    <x:xf numFmtId="202" fontId="12" fillId="7" borderId="0" xfId="0" applyNumberFormat="1" applyFont="1" applyFill="1" applyBorder="1" applyAlignment="1">
      <x:alignment vertical="center" wrapText="1"/>
    </x:xf>
    <x:xf numFmtId="202" fontId="13" fillId="8" borderId="0" xfId="0" applyNumberFormat="1" applyFont="1" applyFill="1" applyBorder="1" applyAlignment="1">
      <x:alignment vertical="center" wrapText="1"/>
    </x:xf>
    <x:xf numFmtId="202" fontId="7" fillId="0" borderId="0" xfId="0" applyNumberFormat="1" applyFont="1" applyFill="1" applyBorder="1" applyAlignment="1">
      <x:alignment vertical="center" wrapText="1"/>
    </x:xf>
    <x:xf numFmtId="200" fontId="9" fillId="3" borderId="0" xfId="0" applyNumberFormat="1" applyFont="1" applyFill="1" applyBorder="1" applyAlignment="1">
      <x:alignment vertical="center" wrapText="1"/>
    </x:xf>
    <x:xf numFmtId="200" fontId="7" fillId="0" borderId="0" xfId="0" applyNumberFormat="1" applyFont="1" applyFill="1" applyBorder="1" applyAlignment="1">
      <x:alignment vertical="center" wrapText="1"/>
    </x:xf>
    <x:xf numFmtId="203" fontId="9" fillId="3" borderId="0" xfId="0" applyNumberFormat="1" applyFont="1" applyFill="1" applyBorder="1" applyAlignment="1">
      <x:alignment vertical="center" wrapText="1"/>
    </x:xf>
    <x:xf numFmtId="204" fontId="9" fillId="3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bb62cbd8c34988" /><Relationship Type="http://schemas.openxmlformats.org/officeDocument/2006/relationships/theme" Target="/xl/theme/theme1.xml" Id="R882c363979a8456f" /><Relationship Type="http://schemas.openxmlformats.org/officeDocument/2006/relationships/sharedStrings" Target="/xl/sharedStrings.xml" Id="R36358bca3c5f4aff" /><Relationship Type="http://schemas.openxmlformats.org/officeDocument/2006/relationships/worksheet" Target="/xl/worksheets/sheet1.xml" Id="Ra06f1916ff214f89" /><Relationship Type="http://schemas.openxmlformats.org/officeDocument/2006/relationships/worksheet" Target="/xl/worksheets/sheet2.xml" Id="R9e0b812e29294762" /><Relationship Type="http://schemas.openxmlformats.org/officeDocument/2006/relationships/worksheet" Target="/xl/worksheets/sheet3.xml" Id="R3bef6f5da0e745df" /><Relationship Type="http://schemas.openxmlformats.org/officeDocument/2006/relationships/worksheet" Target="/xl/worksheets/sheet4.xml" Id="R0e552159c82942ff" /><Relationship Type="http://schemas.openxmlformats.org/officeDocument/2006/relationships/worksheet" Target="/xl/worksheets/sheet5.xml" Id="R9614810531d34e59" /><Relationship Type="http://schemas.openxmlformats.org/officeDocument/2006/relationships/worksheet" Target="/xl/worksheets/sheet6.xml" Id="R01af748f423247c6" /><Relationship Type="http://schemas.openxmlformats.org/officeDocument/2006/relationships/worksheet" Target="/xl/worksheets/sheet7.xml" Id="R10488790dc9b469a" /><Relationship Type="http://schemas.openxmlformats.org/officeDocument/2006/relationships/worksheet" Target="/xl/worksheets/sheet8.xml" Id="R7600dce9768d40fe" /><Relationship Type="http://schemas.openxmlformats.org/officeDocument/2006/relationships/worksheet" Target="/xl/worksheets/sheet9.xml" Id="Radae67ce86f34578" /><Relationship Type="http://schemas.openxmlformats.org/officeDocument/2006/relationships/worksheet" Target="/xl/worksheets/sheet10.xml" Id="R16f530baa40943b7" /><Relationship Type="http://schemas.openxmlformats.org/officeDocument/2006/relationships/worksheet" Target="/xl/worksheets/sheet11.xml" Id="R2c910ed9600046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3" t="str">
        <x:v>板块19：表3-1至表3-3逐单元格计算复现审计</x:v>
      </x:c>
      <x:c r="B1" s="3"/>
      <x:c r="C1" s="3"/>
      <x:c r="D1" s="3"/>
      <x:c r="E1" s="3"/>
      <x:c r="F1" s="3"/>
      <x:c r="G1" s="3"/>
      <x:c r="H1" s="3"/>
    </x:row>
    <x:row r="2" ht="36" customHeight="1">
      <x:c r="A2" s="7" t="str">
        <x:v>计算对象：固有频率相对误差、MAC 与 NRMSE。结论仅适用于当前35份冻结输入；不以拟合或任意自由度穷举补齐论文历史值。</x:v>
      </x:c>
      <x:c r="B2" s="7"/>
      <x:c r="C2" s="7"/>
      <x:c r="D2" s="7"/>
      <x:c r="E2" s="7"/>
      <x:c r="F2" s="7"/>
      <x:c r="G2" s="7"/>
      <x:c r="H2" s="7"/>
    </x:row>
    <x:row r="4">
      <x:c r="A4" s="9" t="str">
        <x:v>人话结论</x:v>
      </x:c>
      <x:c r="B4" s="9" t="str">
        <x:v>人话结论</x:v>
      </x:c>
      <x:c r="C4" s="9" t="str">
        <x:v>人话结论</x:v>
      </x:c>
      <x:c r="D4" s="9" t="str">
        <x:v>人话结论</x:v>
      </x:c>
      <x:c r="E4" s="9" t="str">
        <x:v>人话结论</x:v>
      </x:c>
      <x:c r="F4" s="9" t="str">
        <x:v>人话结论</x:v>
      </x:c>
      <x:c r="G4" s="9" t="str">
        <x:v>人话结论</x:v>
      </x:c>
      <x:c r="H4" s="9" t="str">
        <x:v>人话结论</x:v>
      </x:c>
    </x:row>
    <x:row r="5" ht="36" customHeight="1">
      <x:c r="A5" s="11" t="str">
        <x:v>当前状态</x:v>
      </x:c>
      <x:c r="B5" s="12" t="str">
        <x:v>板块19审计已完成；三张表都未达到整表计算级闭合，因此不建立正式成功目录。</x:v>
      </x:c>
      <x:c r="C5" s="12"/>
      <x:c r="D5" s="12"/>
      <x:c r="E5" s="12"/>
      <x:c r="F5" s="12"/>
      <x:c r="G5" s="12"/>
      <x:c r="H5" s="12"/>
    </x:row>
    <x:row r="6" ht="36" customHeight="1">
      <x:c r="A6" s="11" t="str">
        <x:v>表3-1</x:v>
      </x:c>
      <x:c r="B6" s="12" t="str">
        <x:v>8格中4格末位一致：第一类划分4格闭合；第二类划分4格仍是历史值/待决定。</x:v>
      </x:c>
      <x:c r="C6" s="12"/>
      <x:c r="D6" s="12"/>
      <x:c r="E6" s="12"/>
      <x:c r="F6" s="12"/>
      <x:c r="G6" s="12"/>
      <x:c r="H6" s="12"/>
    </x:row>
    <x:row r="7" ht="36" customHeight="1">
      <x:c r="A7" s="11" t="str">
        <x:v>表3-2</x:v>
      </x:c>
      <x:c r="B7" s="12" t="str">
        <x:v>8格中7格末位一致：仅第二类划分 Craig-Bampton 第2阶论文0.9998未由统一口径恢复。</x:v>
      </x:c>
      <x:c r="C7" s="12"/>
      <x:c r="D7" s="12"/>
      <x:c r="E7" s="12"/>
      <x:c r="F7" s="12"/>
      <x:c r="G7" s="12"/>
      <x:c r="H7" s="12"/>
    </x:row>
    <x:row r="8" ht="36" customHeight="1">
      <x:c r="A8" s="11" t="str">
        <x:v>表3-3</x:v>
      </x:c>
      <x:c r="B8" s="12" t="str">
        <x:v>24格中13格末位一致：第一类Chirp为9/10、两组El Centro各2/2；第二类Chirp为0/10。</x:v>
      </x:c>
      <x:c r="C8" s="12"/>
      <x:c r="D8" s="12"/>
      <x:c r="E8" s="12"/>
      <x:c r="F8" s="12"/>
      <x:c r="G8" s="12"/>
      <x:c r="H8" s="12"/>
    </x:row>
    <x:row r="9" ht="36" customHeight="1">
      <x:c r="A9" s="11" t="str">
        <x:v>双实现核验</x:v>
      </x:c>
      <x:c r="B9" s="12" t="str">
        <x:v>模态候选64/64、NRMSE候选264/264通过MATLAB与Python交叉核对。</x:v>
      </x:c>
      <x:c r="C9" s="12"/>
      <x:c r="D9" s="12"/>
      <x:c r="E9" s="12"/>
      <x:c r="F9" s="12"/>
      <x:c r="G9" s="12"/>
      <x:c r="H9" s="12"/>
    </x:row>
    <x:row r="10" ht="36" customHeight="1">
      <x:c r="A10" s="11" t="str">
        <x:v>证据标签</x:v>
      </x:c>
      <x:c r="B10" s="12" t="str">
        <x:v>计算级复现＝当前冻结输入和明确公式可重算；历史值＝论文印刷值；待决定＝缺少作者历史矩阵、振型或逐点数组。</x:v>
      </x:c>
      <x:c r="C10" s="12"/>
      <x:c r="D10" s="12"/>
      <x:c r="E10" s="12"/>
      <x:c r="F10" s="12"/>
      <x:c r="G10" s="12"/>
      <x:c r="H10" s="12"/>
    </x:row>
    <x:row r="11" ht="36" customHeight="1">
      <x:c r="A11" s="11" t="str">
        <x:v>使用方法</x:v>
      </x:c>
      <x:c r="B11" s="12" t="str">
        <x:v>蓝色数字为冻结输入；黑色数字为Excel公式；橙色单元格表示论文末位未闭合。逐格追溯请看“逐格证据”。</x:v>
      </x:c>
      <x:c r="C11" s="12"/>
      <x:c r="D11" s="12"/>
      <x:c r="E11" s="12"/>
      <x:c r="F11" s="12"/>
      <x:c r="G11" s="12"/>
      <x:c r="H11" s="12"/>
    </x:row>
  </x:sheetData>
  <x:mergeCells>
    <x:mergeCell ref="A1:H1"/>
    <x:mergeCell ref="A2:H2"/>
    <x:mergeCell ref="A4:H4"/>
    <x:mergeCell ref="B5:H5"/>
    <x:mergeCell ref="B6:H6"/>
    <x:mergeCell ref="B7:H7"/>
    <x:mergeCell ref="B8:H8"/>
    <x:mergeCell ref="B9:H9"/>
    <x:mergeCell ref="B10:H10"/>
    <x:mergeCell ref="B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8" hidden="0" customWidth="1"/>
    <x:col min="3" max="3" width="16" hidden="0" customWidth="1"/>
    <x:col min="4" max="4" width="28" hidden="0" customWidth="1"/>
    <x:col min="5" max="5" width="58" hidden="0" customWidth="1"/>
    <x:col min="6" max="6" width="2" hidden="0" customWidth="1"/>
    <x:col min="7" max="7" width="2" hidden="0" customWidth="1"/>
    <x:col min="8" max="8" width="2" hidden="0" customWidth="1"/>
    <x:col min="9" max="9" width="2" hidden="0" customWidth="1"/>
    <x:col min="10" max="10" width="2" hidden="0" customWidth="1"/>
  </x:cols>
  <x:sheetData>
    <x:row r="1" ht="30" customHeight="1">
      <x:c r="A1" s="3" t="str">
        <x:v>论文公式、单位与裁决合同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6" customHeight="1">
      <x:c r="A2" s="7" t="str">
        <x:v>来源：梁禹硕士论文PDF第50—52页及冻结历史脚本。B列中的两个容差是工作簿所有匹配公式的唯一控制值。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4" customHeight="1">
      <x:c r="A4" s="17" t="str">
        <x:v>合同项</x:v>
      </x:c>
      <x:c r="B4" s="17" t="str">
        <x:v>值</x:v>
      </x:c>
      <x:c r="C4" s="17" t="str">
        <x:v>单位/类型</x:v>
      </x:c>
      <x:c r="D4" s="17" t="str">
        <x:v>来源</x:v>
      </x:c>
      <x:c r="E4" s="17" t="str">
        <x:v>解释</x:v>
      </x:c>
    </x:row>
    <x:row r="5">
      <x:c r="A5" s="20" t="str">
        <x:v>论文末位比较容差</x:v>
      </x:c>
      <x:c r="B5" s="27" t="n">
        <x:v>5e-12</x:v>
      </x:c>
      <x:c r="C5" s="20" t="str">
        <x:v>表内显示值</x:v>
      </x:c>
      <x:c r="D5" s="20" t="str">
        <x:v>审计规则</x:v>
      </x:c>
      <x:c r="E5" s="20" t="str">
        <x:v>比较 ROUND(计算值, 论文小数位) 与论文值</x:v>
      </x:c>
    </x:row>
    <x:row r="6">
      <x:c r="A6" s="20" t="str">
        <x:v>工作簿与独立Python容差</x:v>
      </x:c>
      <x:c r="B6" s="27" t="n">
        <x:v>1e-10</x:v>
      </x:c>
      <x:c r="C6" s="20" t="str">
        <x:v>绝对差</x:v>
      </x:c>
      <x:c r="D6" s="20" t="str">
        <x:v>审计规则</x:v>
      </x:c>
      <x:c r="E6" s="20" t="str">
        <x:v>Excel公式值必须与独立Python值一致</x:v>
      </x:c>
    </x:row>
    <x:row r="7">
      <x:c r="A7" s="20" t="str">
        <x:v>冻结输入文件数</x:v>
      </x:c>
      <x:c r="B7" s="26" t="n">
        <x:v>35</x:v>
      </x:c>
      <x:c r="C7" s="20" t="str">
        <x:v>个</x:v>
      </x:c>
      <x:c r="D7" s="20" t="str">
        <x:v>input_manifest.csv</x:v>
      </x:c>
      <x:c r="E7" s="20" t="str">
        <x:v>35/35哈希必须保持MATCH</x:v>
      </x:c>
    </x:row>
    <x:row r="8">
      <x:c r="A8" s="20" t="str">
        <x:v>工作表数</x:v>
      </x:c>
      <x:c r="B8" s="26" t="n">
        <x:v>11</x:v>
      </x:c>
      <x:c r="C8" s="20" t="str">
        <x:v>个</x:v>
      </x:c>
      <x:c r="D8" s="20" t="str">
        <x:v>本工作簿设计</x:v>
      </x:c>
      <x:c r="E8" s="20" t="str">
        <x:v>全部工作表均需渲染检查</x:v>
      </x:c>
    </x:row>
    <x:row r="9">
      <x:c r="A9" s="20" t="str">
        <x:v>表3-1公式</x:v>
      </x:c>
      <x:c r="B9" s="20" t="str">
        <x:v>100×|f_full−f_red|/f_full</x:v>
      </x:c>
      <x:c r="C9" s="20" t="str">
        <x:v>%</x:v>
      </x:c>
      <x:c r="D9" s="20" t="str">
        <x:v>论文式(3-27)</x:v>
      </x:c>
      <x:c r="E9" s="20" t="str">
        <x:v>全文公式含×100%</x:v>
      </x:c>
    </x:row>
    <x:row r="10">
      <x:c r="A10" s="20" t="str">
        <x:v>表3-2公式</x:v>
      </x:c>
      <x:c r="B10" s="20" t="str">
        <x:v>|φ_fullᵀφ_red|²/[(φ_fullᵀφ_full)(φ_redᵀφ_red)]</x:v>
      </x:c>
      <x:c r="C10" s="20" t="str">
        <x:v>无量纲</x:v>
      </x:c>
      <x:c r="D10" s="20" t="str">
        <x:v>论文式(3-29)</x:v>
      </x:c>
      <x:c r="E10" s="20" t="str">
        <x:v>普通欧氏MAC；当前历史口径仅比较正确顺序保留坐标</x:v>
      </x:c>
    </x:row>
    <x:row r="11">
      <x:c r="A11" s="20" t="str">
        <x:v>表3-3公式</x:v>
      </x:c>
      <x:c r="B11" s="20" t="str">
        <x:v>100×sqrt(mean(error²))/(max(x_full)−min(x_full))</x:v>
      </x:c>
      <x:c r="C11" s="20" t="str">
        <x:v>%</x:v>
      </x:c>
      <x:c r="D11" s="20" t="str">
        <x:v>论文式(3-28)+历史RMSE脚本</x:v>
      </x:c>
      <x:c r="E11" s="20" t="str">
        <x:v>论文连续式未印×100，但表头和历史脚本均按百分数</x:v>
      </x:c>
    </x:row>
    <x:row r="12">
      <x:c r="A12" s="20" t="str">
        <x:v>Chirp历史时间窗</x:v>
      </x:c>
      <x:c r="B12" s="20" t="str">
        <x:v>[0,7.27), [7.27,13.73), [13.73,21.4), [21.4,32.31), [32.31,40)</x:v>
      </x:c>
      <x:c r="C12" s="20" t="str">
        <x:v>s</x:v>
      </x:c>
      <x:c r="D12" s="20" t="str">
        <x:v>RMSE.m</x:v>
      </x:c>
      <x:c r="E12" s="20" t="str">
        <x:v>同一楼层完整40 s参考峰峰值作分母</x:v>
      </x:c>
    </x:row>
    <x:row r="14">
      <x:c r="A14" s="24" t="str">
        <x:v>尚未闭合的对象</x:v>
      </x:c>
      <x:c r="B14" s="24" t="str">
        <x:v>缺少的作者级证据</x:v>
      </x:c>
      <x:c r="C14" s="24" t="str">
        <x:v>当前处理</x:v>
      </x:c>
      <x:c r="D14" s="24" t="str">
        <x:v>禁止操作</x:v>
      </x:c>
      <x:c r="E14" s="24" t="str">
        <x:v>结论</x:v>
      </x:c>
    </x:row>
    <x:row r="15" ht="54" customHeight="1">
      <x:c r="A15" s="12" t="str">
        <x:v>表3-1第二类划分4格</x:v>
      </x:c>
      <x:c r="B15" s="12" t="str">
        <x:v>历史质量/刚度矩阵或另一划分入口</x:v>
      </x:c>
      <x:c r="C15" s="12" t="str">
        <x:v>保留论文值与当前计算差</x:v>
      </x:c>
      <x:c r="D15" s="12" t="str">
        <x:v>参数拟合、任意自由度枚举</x:v>
      </x:c>
      <x:c r="E15" s="12" t="str">
        <x:v>历史值/待决定</x:v>
      </x:c>
    </x:row>
    <x:row r="16" ht="54" customHeight="1">
      <x:c r="A16" s="12" t="str">
        <x:v>表3-2第二类CB第2阶</x:v>
      </x:c>
      <x:c r="B16" s="12" t="str">
        <x:v>与论文频率路线一致的历史振型对象</x:v>
      </x:c>
      <x:c r="C16" s="12" t="str">
        <x:v>报告统一保留坐标MAC=1.0000</x:v>
      </x:c>
      <x:c r="D16" s="12" t="str">
        <x:v>混用质量加权口径填表</x:v>
      </x:c>
      <x:c r="E16" s="12" t="str">
        <x:v>历史值/待决定</x:v>
      </x:c>
    </x:row>
    <x:row r="17" ht="54" customHeight="1">
      <x:c r="A17" s="12" t="str">
        <x:v>表3-3第一类Chirp最高频Guyan</x:v>
      </x:c>
      <x:c r="B17" s="12" t="str">
        <x:v>作者旧逐点响应或求解器版本</x:v>
      </x:c>
      <x:c r="C17" s="12" t="str">
        <x:v>报告0.7450与论文0.7452</x:v>
      </x:c>
      <x:c r="D17" s="12" t="str">
        <x:v>修改时间窗迎合数值</x:v>
      </x:c>
      <x:c r="E17" s="12" t="str">
        <x:v>历史值/待决定</x:v>
      </x:c>
    </x:row>
    <x:row r="18" ht="54" customHeight="1">
      <x:c r="A18" s="12" t="str">
        <x:v>表3-3第二类Chirp10格</x:v>
      </x:c>
      <x:c r="B18" s="12" t="str">
        <x:v>作者第二类Chirp历史逐点响应</x:v>
      </x:c>
      <x:c r="C18" s="12" t="str">
        <x:v>三层及四种有文档口径均保留</x:v>
      </x:c>
      <x:c r="D18" s="12" t="str">
        <x:v>逐格挑楼层或更换NRMSE定义</x:v>
      </x:c>
      <x:c r="E18" s="12" t="str">
        <x:v>历史值/待决定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" hidden="0" customWidth="1"/>
    <x:col min="3" max="3" width="18" hidden="0" customWidth="1"/>
    <x:col min="4" max="4" width="26" hidden="0" customWidth="1"/>
    <x:col min="5" max="5" width="9" hidden="0" customWidth="1"/>
    <x:col min="6" max="6" width="18" hidden="0" customWidth="1"/>
    <x:col min="7" max="7" width="18" hidden="0" customWidth="1"/>
    <x:col min="8" max="8" width="14" hidden="0" customWidth="1"/>
    <x:col min="9" max="9" width="10" hidden="0" customWidth="1"/>
    <x:col min="10" max="10" width="42" hidden="0" customWidth="1"/>
    <x:col min="11" max="11" width="28" hidden="0" customWidth="1"/>
  </x:cols>
  <x:sheetData>
    <x:row r="1" ht="30" customHeight="1">
      <x:c r="A1" s="3" t="str">
        <x:v>表3-1冻结频率输入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6" customHeight="1">
      <x:c r="A2" s="7" t="str">
        <x:v>蓝色数值来自冻结 global_routes_matlab.mat；此表只放输入，不放结果公式。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4" customHeight="1">
      <x:c r="A4" s="17" t="str">
        <x:v>单元格ID</x:v>
      </x:c>
      <x:c r="B4" s="17" t="str">
        <x:v>划分</x:v>
      </x:c>
      <x:c r="C4" s="17" t="str">
        <x:v>方法</x:v>
      </x:c>
      <x:c r="D4" s="17" t="str">
        <x:v>路线</x:v>
      </x:c>
      <x:c r="E4" s="17" t="str">
        <x:v>阶次</x:v>
      </x:c>
      <x:c r="F4" s="17" t="str">
        <x:v>全阶频率/Hz</x:v>
      </x:c>
      <x:c r="G4" s="17" t="str">
        <x:v>缩聚频率/Hz</x:v>
      </x:c>
      <x:c r="H4" s="17" t="str">
        <x:v>论文值/%</x:v>
      </x:c>
      <x:c r="I4" s="17" t="str">
        <x:v>小数位</x:v>
      </x:c>
      <x:c r="J4" s="17" t="str">
        <x:v>来源</x:v>
      </x:c>
      <x:c r="K4" s="17" t="str">
        <x:v>SHA-256</x:v>
      </x:c>
    </x:row>
    <x:row r="5">
      <x:c r="A5" s="20" t="str">
        <x:v>T3-1-D1-G-M1</x:v>
      </x:c>
      <x:c r="B5" s="20" t="n">
        <x:v>1</x:v>
      </x:c>
      <x:c r="C5" s="20" t="str">
        <x:v>Guyan</x:v>
      </x:c>
      <x:c r="D5" s="20" t="str">
        <x:v>historical_single_sided</x:v>
      </x:c>
      <x:c r="E5" s="20" t="n">
        <x:v>1</x:v>
      </x:c>
      <x:c r="F5" s="29" t="n">
        <x:v>2.707425741915122</x:v>
      </x:c>
      <x:c r="G5" s="29" t="n">
        <x:v>2.7249770197432226</x:v>
      </x:c>
      <x:c r="H5" s="29" t="n">
        <x:v>0.648</x:v>
      </x:c>
      <x:c r="I5" s="28" t="n">
        <x:v>3</x:v>
      </x:c>
      <x:c r="J5" s="20" t="str">
        <x:v>input/board17/outputs/global_routes_matlab.mat</x:v>
      </x:c>
      <x:c r="K5" s="20" t="str">
        <x:v>A58A830134259585ECD091BA37B3A69640E79D3AA10B5094E106F2EC01ED56ED</x:v>
      </x:c>
    </x:row>
    <x:row r="6">
      <x:c r="A6" s="20" t="str">
        <x:v>T3-1-D1-G-M2</x:v>
      </x:c>
      <x:c r="B6" s="20" t="n">
        <x:v>1</x:v>
      </x:c>
      <x:c r="C6" s="20" t="str">
        <x:v>Guyan</x:v>
      </x:c>
      <x:c r="D6" s="20" t="str">
        <x:v>historical_single_sided</x:v>
      </x:c>
      <x:c r="E6" s="20" t="n">
        <x:v>2</x:v>
      </x:c>
      <x:c r="F6" s="29" t="n">
        <x:v>9.328408686762627</x:v>
      </x:c>
      <x:c r="G6" s="29" t="n">
        <x:v>9.833191026053944</x:v>
      </x:c>
      <x:c r="H6" s="29" t="n">
        <x:v>5.411</x:v>
      </x:c>
      <x:c r="I6" s="28" t="n">
        <x:v>3</x:v>
      </x:c>
      <x:c r="J6" s="20" t="str">
        <x:v>input/board17/outputs/global_routes_matlab.mat</x:v>
      </x:c>
      <x:c r="K6" s="20" t="str">
        <x:v>A58A830134259585ECD091BA37B3A69640E79D3AA10B5094E106F2EC01ED56ED</x:v>
      </x:c>
    </x:row>
    <x:row r="7">
      <x:c r="A7" s="20" t="str">
        <x:v>T3-1-D1-CB-M1</x:v>
      </x:c>
      <x:c r="B7" s="20" t="n">
        <x:v>1</x:v>
      </x:c>
      <x:c r="C7" s="20" t="str">
        <x:v>Craig-Bampton</x:v>
      </x:c>
      <x:c r="D7" s="20" t="str">
        <x:v>sorted_cb</x:v>
      </x:c>
      <x:c r="E7" s="20" t="n">
        <x:v>1</x:v>
      </x:c>
      <x:c r="F7" s="29" t="n">
        <x:v>2.707425741915122</x:v>
      </x:c>
      <x:c r="G7" s="29" t="n">
        <x:v>2.707494184419073</x:v>
      </x:c>
      <x:c r="H7" s="29" t="n">
        <x:v>0.003</x:v>
      </x:c>
      <x:c r="I7" s="28" t="n">
        <x:v>3</x:v>
      </x:c>
      <x:c r="J7" s="20" t="str">
        <x:v>input/board17/outputs/global_routes_matlab.mat</x:v>
      </x:c>
      <x:c r="K7" s="20" t="str">
        <x:v>A58A830134259585ECD091BA37B3A69640E79D3AA10B5094E106F2EC01ED56ED</x:v>
      </x:c>
    </x:row>
    <x:row r="8">
      <x:c r="A8" s="20" t="str">
        <x:v>T3-1-D1-CB-M2</x:v>
      </x:c>
      <x:c r="B8" s="20" t="n">
        <x:v>1</x:v>
      </x:c>
      <x:c r="C8" s="20" t="str">
        <x:v>Craig-Bampton</x:v>
      </x:c>
      <x:c r="D8" s="20" t="str">
        <x:v>sorted_cb</x:v>
      </x:c>
      <x:c r="E8" s="20" t="n">
        <x:v>2</x:v>
      </x:c>
      <x:c r="F8" s="29" t="n">
        <x:v>9.328408686762627</x:v>
      </x:c>
      <x:c r="G8" s="29" t="n">
        <x:v>9.35492223097821</x:v>
      </x:c>
      <x:c r="H8" s="29" t="n">
        <x:v>0.284</x:v>
      </x:c>
      <x:c r="I8" s="28" t="n">
        <x:v>3</x:v>
      </x:c>
      <x:c r="J8" s="20" t="str">
        <x:v>input/board17/outputs/global_routes_matlab.mat</x:v>
      </x:c>
      <x:c r="K8" s="20" t="str">
        <x:v>A58A830134259585ECD091BA37B3A69640E79D3AA10B5094E106F2EC01ED56ED</x:v>
      </x:c>
    </x:row>
    <x:row r="9">
      <x:c r="A9" s="20" t="str">
        <x:v>T3-1-D2-G-M1</x:v>
      </x:c>
      <x:c r="B9" s="20" t="n">
        <x:v>2</x:v>
      </x:c>
      <x:c r="C9" s="20" t="str">
        <x:v>Guyan</x:v>
      </x:c>
      <x:c r="D9" s="20" t="str">
        <x:v>historical_single_sided</x:v>
      </x:c>
      <x:c r="E9" s="20" t="n">
        <x:v>1</x:v>
      </x:c>
      <x:c r="F9" s="29" t="n">
        <x:v>2.707425741915122</x:v>
      </x:c>
      <x:c r="G9" s="29" t="n">
        <x:v>3.222919493540619</x:v>
      </x:c>
      <x:c r="H9" s="29" t="n">
        <x:v>13.04</x:v>
      </x:c>
      <x:c r="I9" s="28" t="n">
        <x:v>3</x:v>
      </x:c>
      <x:c r="J9" s="20" t="str">
        <x:v>input/board17/outputs/global_routes_matlab.mat</x:v>
      </x:c>
      <x:c r="K9" s="20" t="str">
        <x:v>A58A830134259585ECD091BA37B3A69640E79D3AA10B5094E106F2EC01ED56ED</x:v>
      </x:c>
    </x:row>
    <x:row r="10">
      <x:c r="A10" s="20" t="str">
        <x:v>T3-1-D2-G-M2</x:v>
      </x:c>
      <x:c r="B10" s="20" t="n">
        <x:v>2</x:v>
      </x:c>
      <x:c r="C10" s="20" t="str">
        <x:v>Guyan</x:v>
      </x:c>
      <x:c r="D10" s="20" t="str">
        <x:v>historical_single_sided</x:v>
      </x:c>
      <x:c r="E10" s="20" t="n">
        <x:v>2</x:v>
      </x:c>
      <x:c r="F10" s="29" t="n">
        <x:v>9.328408686762627</x:v>
      </x:c>
      <x:c r="G10" s="29" t="n">
        <x:v>12.180519372230968</x:v>
      </x:c>
      <x:c r="H10" s="29" t="n">
        <x:v>24.575</x:v>
      </x:c>
      <x:c r="I10" s="28" t="n">
        <x:v>3</x:v>
      </x:c>
      <x:c r="J10" s="20" t="str">
        <x:v>input/board17/outputs/global_routes_matlab.mat</x:v>
      </x:c>
      <x:c r="K10" s="20" t="str">
        <x:v>A58A830134259585ECD091BA37B3A69640E79D3AA10B5094E106F2EC01ED56ED</x:v>
      </x:c>
    </x:row>
    <x:row r="11">
      <x:c r="A11" s="20" t="str">
        <x:v>T3-1-D2-CB-M1</x:v>
      </x:c>
      <x:c r="B11" s="20" t="n">
        <x:v>2</x:v>
      </x:c>
      <x:c r="C11" s="20" t="str">
        <x:v>Craig-Bampton</x:v>
      </x:c>
      <x:c r="D11" s="20" t="str">
        <x:v>sorted_cb</x:v>
      </x:c>
      <x:c r="E11" s="20" t="n">
        <x:v>1</x:v>
      </x:c>
      <x:c r="F11" s="29" t="n">
        <x:v>2.707425741915122</x:v>
      </x:c>
      <x:c r="G11" s="29" t="n">
        <x:v>2.7080706547484814</x:v>
      </x:c>
      <x:c r="H11" s="29" t="n">
        <x:v>0.007</x:v>
      </x:c>
      <x:c r="I11" s="28" t="n">
        <x:v>3</x:v>
      </x:c>
      <x:c r="J11" s="20" t="str">
        <x:v>input/board17/outputs/global_routes_matlab.mat</x:v>
      </x:c>
      <x:c r="K11" s="20" t="str">
        <x:v>A58A830134259585ECD091BA37B3A69640E79D3AA10B5094E106F2EC01ED56ED</x:v>
      </x:c>
    </x:row>
    <x:row r="12">
      <x:c r="A12" s="20" t="str">
        <x:v>T3-1-D2-CB-M2</x:v>
      </x:c>
      <x:c r="B12" s="20" t="n">
        <x:v>2</x:v>
      </x:c>
      <x:c r="C12" s="20" t="str">
        <x:v>Craig-Bampton</x:v>
      </x:c>
      <x:c r="D12" s="20" t="str">
        <x:v>sorted_cb</x:v>
      </x:c>
      <x:c r="E12" s="20" t="n">
        <x:v>2</x:v>
      </x:c>
      <x:c r="F12" s="29" t="n">
        <x:v>9.328408686762627</x:v>
      </x:c>
      <x:c r="G12" s="29" t="n">
        <x:v>9.338463296951838</x:v>
      </x:c>
      <x:c r="H12" s="29" t="n">
        <x:v>0.834</x:v>
      </x:c>
      <x:c r="I12" s="28" t="n">
        <x:v>3</x:v>
      </x:c>
      <x:c r="J12" s="20" t="str">
        <x:v>input/board17/outputs/global_routes_matlab.mat</x:v>
      </x:c>
      <x:c r="K12" s="20" t="str">
        <x:v>A58A830134259585ECD091BA37B3A69640E79D3AA10B5094E106F2EC01ED56ED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" hidden="0" customWidth="1"/>
    <x:col min="3" max="3" width="18" hidden="0" customWidth="1"/>
    <x:col min="4" max="4" width="8" hidden="0" customWidth="1"/>
    <x:col min="5" max="5" width="16" hidden="0" customWidth="1"/>
    <x:col min="6" max="6" width="16" hidden="0" customWidth="1"/>
    <x:col min="7" max="7" width="17" hidden="0" customWidth="1"/>
    <x:col min="8" max="8" width="13" hidden="0" customWidth="1"/>
    <x:col min="9" max="9" width="9" hidden="0" customWidth="1"/>
    <x:col min="10" max="10" width="14" hidden="0" customWidth="1"/>
    <x:col min="11" max="11" width="15" hidden="0" customWidth="1"/>
    <x:col min="12" max="12" width="12" hidden="0" customWidth="1"/>
    <x:col min="13" max="13" width="17" hidden="0" customWidth="1"/>
    <x:col min="14" max="14" width="16" hidden="0" customWidth="1"/>
    <x:col min="15" max="15" width="14" hidden="0" customWidth="1"/>
    <x:col min="16" max="16" width="34" hidden="0" customWidth="1"/>
    <x:col min="17" max="17" width="40" hidden="0" customWidth="1"/>
    <x:col min="18" max="18" width="9" hidden="0" customWidth="1"/>
  </x:cols>
  <x:sheetData>
    <x:row r="1" ht="30" customHeight="1">
      <x:c r="A1" s="3" t="str">
        <x:v>表3-1逐单元格公式计算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6" customHeight="1">
      <x:c r="A2" s="7" t="str">
        <x:v>G列由Excel公式重新计算相对误差；L列只比较论文印刷小数位，不放宽判据。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4" ht="34" customHeight="1">
      <x:c r="A4" s="17" t="str">
        <x:v>单元格ID</x:v>
      </x:c>
      <x:c r="B4" s="17" t="str">
        <x:v>划分</x:v>
      </x:c>
      <x:c r="C4" s="17" t="str">
        <x:v>方法</x:v>
      </x:c>
      <x:c r="D4" s="17" t="str">
        <x:v>阶次</x:v>
      </x:c>
      <x:c r="E4" s="17" t="str">
        <x:v>全阶频率/Hz</x:v>
      </x:c>
      <x:c r="F4" s="17" t="str">
        <x:v>缩聚频率/Hz</x:v>
      </x:c>
      <x:c r="G4" s="17" t="str">
        <x:v>工作簿误差/%</x:v>
      </x:c>
      <x:c r="H4" s="17" t="str">
        <x:v>论文值/%</x:v>
      </x:c>
      <x:c r="I4" s="17" t="str">
        <x:v>小数位</x:v>
      </x:c>
      <x:c r="J4" s="17" t="str">
        <x:v>工作簿舍入</x:v>
      </x:c>
      <x:c r="K4" s="17" t="str">
        <x:v>绝对差/%</x:v>
      </x:c>
      <x:c r="L4" s="17" t="str">
        <x:v>末位匹配</x:v>
      </x:c>
      <x:c r="M4" s="17" t="str">
        <x:v>Python独立值/%</x:v>
      </x:c>
      <x:c r="N4" s="17" t="str">
        <x:v>公式-Python差</x:v>
      </x:c>
      <x:c r="O4" s="17" t="str">
        <x:v>MATLAB-Python</x:v>
      </x:c>
      <x:c r="P4" s="17" t="str">
        <x:v>证据等级</x:v>
      </x:c>
      <x:c r="Q4" s="17" t="str">
        <x:v>输入源</x:v>
      </x:c>
      <x:c r="R4" s="17" t="str">
        <x:v>记录数</x:v>
      </x:c>
    </x:row>
    <x:row r="5">
      <x:c r="A5" s="20" t="str">
        <x:v>T3-1-D1-G-M1</x:v>
      </x:c>
      <x:c r="B5" s="20" t="n">
        <x:v>1</x:v>
      </x:c>
      <x:c r="C5" s="20" t="str">
        <x:v>Guyan</x:v>
      </x:c>
      <x:c r="D5" s="20" t="n">
        <x:v>1</x:v>
      </x:c>
      <x:c r="E5" s="29" t="n">
        <x:f>'频率输入'!F5</x:f>
        <x:v>2.707425741915122</x:v>
      </x:c>
      <x:c r="F5" s="29" t="n">
        <x:f>'频率输入'!G5</x:f>
        <x:v>2.7249770197432226</x:v>
      </x:c>
      <x:c r="G5" s="29" t="n">
        <x:f>100*ABS(F5-E5)/E5</x:f>
        <x:v>0.648264421674796</x:v>
      </x:c>
      <x:c r="H5" s="29" t="n">
        <x:f>'频率输入'!H5</x:f>
        <x:v>0.648</x:v>
      </x:c>
      <x:c r="I5" s="43" t="n">
        <x:f>'频率输入'!I5</x:f>
        <x:v>3</x:v>
      </x:c>
      <x:c r="J5" s="40" t="n">
        <x:f>ROUND(G5,I5)</x:f>
        <x:v>0.648</x:v>
      </x:c>
      <x:c r="K5" s="40" t="n">
        <x:f>ABS(G5-H5)</x:f>
        <x:v>0.00026442167479601153</x:v>
      </x:c>
      <x:c r="L5" s="44" t="n">
        <x:f>IF(ABS(J5-H5)&lt;='论文合同'!$B$5,1,0)</x:f>
        <x:v>1</x:v>
      </x:c>
      <x:c r="M5" s="40" t="n">
        <x:v>0.648264421674796</x:v>
      </x:c>
      <x:c r="N5" s="40" t="n">
        <x:f>ABS(G5-M5)</x:f>
        <x:v>0</x:v>
      </x:c>
      <x:c r="O5" s="46" t="n">
        <x:v>1</x:v>
      </x:c>
      <x:c r="P5" s="20" t="str">
        <x:v>计算级复现（当前冻结历史路线）</x:v>
      </x:c>
      <x:c r="Q5" s="20" t="str">
        <x:v>input/board17/outputs/global_routes_matlab.mat</x:v>
      </x:c>
      <x:c r="R5" s="46" t="n">
        <x:v>1</x:v>
      </x:c>
    </x:row>
    <x:row r="6">
      <x:c r="A6" s="20" t="str">
        <x:v>T3-1-D1-G-M2</x:v>
      </x:c>
      <x:c r="B6" s="20" t="n">
        <x:v>1</x:v>
      </x:c>
      <x:c r="C6" s="20" t="str">
        <x:v>Guyan</x:v>
      </x:c>
      <x:c r="D6" s="20" t="n">
        <x:v>2</x:v>
      </x:c>
      <x:c r="E6" s="29" t="n">
        <x:f>'频率输入'!F6</x:f>
        <x:v>9.328408686762627</x:v>
      </x:c>
      <x:c r="F6" s="29" t="n">
        <x:f>'频率输入'!G6</x:f>
        <x:v>9.833191026053944</x:v>
      </x:c>
      <x:c r="G6" s="29" t="n">
        <x:f>100*ABS(F6-E6)/E6</x:f>
        <x:v>5.411237395801741</x:v>
      </x:c>
      <x:c r="H6" s="29" t="n">
        <x:f>'频率输入'!H6</x:f>
        <x:v>5.411</x:v>
      </x:c>
      <x:c r="I6" s="43" t="n">
        <x:f>'频率输入'!I6</x:f>
        <x:v>3</x:v>
      </x:c>
      <x:c r="J6" s="40" t="n">
        <x:f>ROUND(G6,I6)</x:f>
        <x:v>5.411</x:v>
      </x:c>
      <x:c r="K6" s="40" t="n">
        <x:f>ABS(G6-H6)</x:f>
        <x:v>0.00023739580174098052</x:v>
      </x:c>
      <x:c r="L6" s="44" t="n">
        <x:f>IF(ABS(J6-H6)&lt;='论文合同'!$B$5,1,0)</x:f>
        <x:v>1</x:v>
      </x:c>
      <x:c r="M6" s="40" t="n">
        <x:v>5.411237395801741</x:v>
      </x:c>
      <x:c r="N6" s="40" t="n">
        <x:f>ABS(G6-M6)</x:f>
        <x:v>0</x:v>
      </x:c>
      <x:c r="O6" s="46" t="n">
        <x:v>1</x:v>
      </x:c>
      <x:c r="P6" s="20" t="str">
        <x:v>计算级复现（当前冻结历史路线）</x:v>
      </x:c>
      <x:c r="Q6" s="20" t="str">
        <x:v>input/board17/outputs/global_routes_matlab.mat</x:v>
      </x:c>
      <x:c r="R6" s="46" t="n">
        <x:v>1</x:v>
      </x:c>
    </x:row>
    <x:row r="7">
      <x:c r="A7" s="20" t="str">
        <x:v>T3-1-D1-CB-M1</x:v>
      </x:c>
      <x:c r="B7" s="20" t="n">
        <x:v>1</x:v>
      </x:c>
      <x:c r="C7" s="20" t="str">
        <x:v>Craig-Bampton</x:v>
      </x:c>
      <x:c r="D7" s="20" t="n">
        <x:v>1</x:v>
      </x:c>
      <x:c r="E7" s="29" t="n">
        <x:f>'频率输入'!F7</x:f>
        <x:v>2.707425741915122</x:v>
      </x:c>
      <x:c r="F7" s="29" t="n">
        <x:f>'频率输入'!G7</x:f>
        <x:v>2.707494184419073</x:v>
      </x:c>
      <x:c r="G7" s="29" t="n">
        <x:f>100*ABS(F7-E7)/E7</x:f>
        <x:v>0.002527954982897537</x:v>
      </x:c>
      <x:c r="H7" s="29" t="n">
        <x:f>'频率输入'!H7</x:f>
        <x:v>0.003</x:v>
      </x:c>
      <x:c r="I7" s="43" t="n">
        <x:f>'频率输入'!I7</x:f>
        <x:v>3</x:v>
      </x:c>
      <x:c r="J7" s="40" t="n">
        <x:f>ROUND(G7,I7)</x:f>
        <x:v>0.003</x:v>
      </x:c>
      <x:c r="K7" s="40" t="n">
        <x:f>ABS(G7-H7)</x:f>
        <x:v>0.00047204501710246304</x:v>
      </x:c>
      <x:c r="L7" s="44" t="n">
        <x:f>IF(ABS(J7-H7)&lt;='论文合同'!$B$5,1,0)</x:f>
        <x:v>1</x:v>
      </x:c>
      <x:c r="M7" s="40" t="n">
        <x:v>0.002527954982897537</x:v>
      </x:c>
      <x:c r="N7" s="40" t="n">
        <x:f>ABS(G7-M7)</x:f>
        <x:v>0</x:v>
      </x:c>
      <x:c r="O7" s="46" t="n">
        <x:v>1</x:v>
      </x:c>
      <x:c r="P7" s="20" t="str">
        <x:v>计算级复现（当前冻结历史路线）</x:v>
      </x:c>
      <x:c r="Q7" s="20" t="str">
        <x:v>input/board17/outputs/global_routes_matlab.mat</x:v>
      </x:c>
      <x:c r="R7" s="46" t="n">
        <x:v>1</x:v>
      </x:c>
    </x:row>
    <x:row r="8">
      <x:c r="A8" s="20" t="str">
        <x:v>T3-1-D1-CB-M2</x:v>
      </x:c>
      <x:c r="B8" s="20" t="n">
        <x:v>1</x:v>
      </x:c>
      <x:c r="C8" s="20" t="str">
        <x:v>Craig-Bampton</x:v>
      </x:c>
      <x:c r="D8" s="20" t="n">
        <x:v>2</x:v>
      </x:c>
      <x:c r="E8" s="29" t="n">
        <x:f>'频率输入'!F8</x:f>
        <x:v>9.328408686762627</x:v>
      </x:c>
      <x:c r="F8" s="29" t="n">
        <x:f>'频率输入'!G8</x:f>
        <x:v>9.35492223097821</x:v>
      </x:c>
      <x:c r="G8" s="29" t="n">
        <x:f>100*ABS(F8-E8)/E8</x:f>
        <x:v>0.28422365599404037</x:v>
      </x:c>
      <x:c r="H8" s="29" t="n">
        <x:f>'频率输入'!H8</x:f>
        <x:v>0.284</x:v>
      </x:c>
      <x:c r="I8" s="43" t="n">
        <x:f>'频率输入'!I8</x:f>
        <x:v>3</x:v>
      </x:c>
      <x:c r="J8" s="40" t="n">
        <x:f>ROUND(G8,I8)</x:f>
        <x:v>0.284</x:v>
      </x:c>
      <x:c r="K8" s="40" t="n">
        <x:f>ABS(G8-H8)</x:f>
        <x:v>0.00022365599404039482</x:v>
      </x:c>
      <x:c r="L8" s="44" t="n">
        <x:f>IF(ABS(J8-H8)&lt;='论文合同'!$B$5,1,0)</x:f>
        <x:v>1</x:v>
      </x:c>
      <x:c r="M8" s="40" t="n">
        <x:v>0.28422365599404037</x:v>
      </x:c>
      <x:c r="N8" s="40" t="n">
        <x:f>ABS(G8-M8)</x:f>
        <x:v>0</x:v>
      </x:c>
      <x:c r="O8" s="46" t="n">
        <x:v>1</x:v>
      </x:c>
      <x:c r="P8" s="20" t="str">
        <x:v>计算级复现（当前冻结历史路线）</x:v>
      </x:c>
      <x:c r="Q8" s="20" t="str">
        <x:v>input/board17/outputs/global_routes_matlab.mat</x:v>
      </x:c>
      <x:c r="R8" s="46" t="n">
        <x:v>1</x:v>
      </x:c>
    </x:row>
    <x:row r="9">
      <x:c r="A9" s="20" t="str">
        <x:v>T3-1-D2-G-M1</x:v>
      </x:c>
      <x:c r="B9" s="20" t="n">
        <x:v>2</x:v>
      </x:c>
      <x:c r="C9" s="20" t="str">
        <x:v>Guyan</x:v>
      </x:c>
      <x:c r="D9" s="20" t="n">
        <x:v>1</x:v>
      </x:c>
      <x:c r="E9" s="29" t="n">
        <x:f>'频率输入'!F9</x:f>
        <x:v>2.707425741915122</x:v>
      </x:c>
      <x:c r="F9" s="29" t="n">
        <x:f>'频率输入'!G9</x:f>
        <x:v>3.222919493540619</x:v>
      </x:c>
      <x:c r="G9" s="29" t="n">
        <x:f>100*ABS(F9-E9)/E9</x:f>
        <x:v>19.03999595057621</x:v>
      </x:c>
      <x:c r="H9" s="29" t="n">
        <x:f>'频率输入'!H9</x:f>
        <x:v>13.04</x:v>
      </x:c>
      <x:c r="I9" s="43" t="n">
        <x:f>'频率输入'!I9</x:f>
        <x:v>3</x:v>
      </x:c>
      <x:c r="J9" s="40" t="n">
        <x:f>ROUND(G9,I9)</x:f>
        <x:v>19.04</x:v>
      </x:c>
      <x:c r="K9" s="40" t="n">
        <x:f>ABS(G9-H9)</x:f>
        <x:v>5.99999595057621</x:v>
      </x:c>
      <x:c r="L9" s="45" t="n">
        <x:f>IF(ABS(J9-H9)&lt;='论文合同'!$B$5,1,0)</x:f>
        <x:v>0</x:v>
      </x:c>
      <x:c r="M9" s="40" t="n">
        <x:v>19.03999595057621</x:v>
      </x:c>
      <x:c r="N9" s="40" t="n">
        <x:f>ABS(G9-M9)</x:f>
        <x:v>0</x:v>
      </x:c>
      <x:c r="O9" s="46" t="n">
        <x:v>1</x:v>
      </x:c>
      <x:c r="P9" s="20" t="str">
        <x:v>历史值/待决定</x:v>
      </x:c>
      <x:c r="Q9" s="20" t="str">
        <x:v>input/board17/outputs/global_routes_matlab.mat</x:v>
      </x:c>
      <x:c r="R9" s="46" t="n">
        <x:v>1</x:v>
      </x:c>
    </x:row>
    <x:row r="10">
      <x:c r="A10" s="20" t="str">
        <x:v>T3-1-D2-G-M2</x:v>
      </x:c>
      <x:c r="B10" s="20" t="n">
        <x:v>2</x:v>
      </x:c>
      <x:c r="C10" s="20" t="str">
        <x:v>Guyan</x:v>
      </x:c>
      <x:c r="D10" s="20" t="n">
        <x:v>2</x:v>
      </x:c>
      <x:c r="E10" s="29" t="n">
        <x:f>'频率输入'!F10</x:f>
        <x:v>9.328408686762627</x:v>
      </x:c>
      <x:c r="F10" s="29" t="n">
        <x:f>'频率输入'!G10</x:f>
        <x:v>12.180519372230968</x:v>
      </x:c>
      <x:c r="G10" s="29" t="n">
        <x:f>100*ABS(F10-E10)/E10</x:f>
        <x:v>30.574461103056056</x:v>
      </x:c>
      <x:c r="H10" s="29" t="n">
        <x:f>'频率输入'!H10</x:f>
        <x:v>24.575</x:v>
      </x:c>
      <x:c r="I10" s="43" t="n">
        <x:f>'频率输入'!I10</x:f>
        <x:v>3</x:v>
      </x:c>
      <x:c r="J10" s="40" t="n">
        <x:f>ROUND(G10,I10)</x:f>
        <x:v>30.574</x:v>
      </x:c>
      <x:c r="K10" s="40" t="n">
        <x:f>ABS(G10-H10)</x:f>
        <x:v>5.999461103056056</x:v>
      </x:c>
      <x:c r="L10" s="45" t="n">
        <x:f>IF(ABS(J10-H10)&lt;='论文合同'!$B$5,1,0)</x:f>
        <x:v>0</x:v>
      </x:c>
      <x:c r="M10" s="40" t="n">
        <x:v>30.574461103056056</x:v>
      </x:c>
      <x:c r="N10" s="40" t="n">
        <x:f>ABS(G10-M10)</x:f>
        <x:v>0</x:v>
      </x:c>
      <x:c r="O10" s="46" t="n">
        <x:v>1</x:v>
      </x:c>
      <x:c r="P10" s="20" t="str">
        <x:v>历史值/待决定</x:v>
      </x:c>
      <x:c r="Q10" s="20" t="str">
        <x:v>input/board17/outputs/global_routes_matlab.mat</x:v>
      </x:c>
      <x:c r="R10" s="46" t="n">
        <x:v>1</x:v>
      </x:c>
    </x:row>
    <x:row r="11">
      <x:c r="A11" s="20" t="str">
        <x:v>T3-1-D2-CB-M1</x:v>
      </x:c>
      <x:c r="B11" s="20" t="n">
        <x:v>2</x:v>
      </x:c>
      <x:c r="C11" s="20" t="str">
        <x:v>Craig-Bampton</x:v>
      </x:c>
      <x:c r="D11" s="20" t="n">
        <x:v>1</x:v>
      </x:c>
      <x:c r="E11" s="29" t="n">
        <x:f>'频率输入'!F11</x:f>
        <x:v>2.707425741915122</x:v>
      </x:c>
      <x:c r="F11" s="29" t="n">
        <x:f>'频率输入'!G11</x:f>
        <x:v>2.7080706547484814</x:v>
      </x:c>
      <x:c r="G11" s="29" t="n">
        <x:f>100*ABS(F11-E11)/E11</x:f>
        <x:v>0.023820148540925432</x:v>
      </x:c>
      <x:c r="H11" s="29" t="n">
        <x:f>'频率输入'!H11</x:f>
        <x:v>0.007</x:v>
      </x:c>
      <x:c r="I11" s="43" t="n">
        <x:f>'频率输入'!I11</x:f>
        <x:v>3</x:v>
      </x:c>
      <x:c r="J11" s="40" t="n">
        <x:f>ROUND(G11,I11)</x:f>
        <x:v>0.024</x:v>
      </x:c>
      <x:c r="K11" s="40" t="n">
        <x:f>ABS(G11-H11)</x:f>
        <x:v>0.016820148540925433</x:v>
      </x:c>
      <x:c r="L11" s="45" t="n">
        <x:f>IF(ABS(J11-H11)&lt;='论文合同'!$B$5,1,0)</x:f>
        <x:v>0</x:v>
      </x:c>
      <x:c r="M11" s="40" t="n">
        <x:v>0.023820148540925432</x:v>
      </x:c>
      <x:c r="N11" s="40" t="n">
        <x:f>ABS(G11-M11)</x:f>
        <x:v>0</x:v>
      </x:c>
      <x:c r="O11" s="46" t="n">
        <x:v>1</x:v>
      </x:c>
      <x:c r="P11" s="20" t="str">
        <x:v>历史值/待决定</x:v>
      </x:c>
      <x:c r="Q11" s="20" t="str">
        <x:v>input/board17/outputs/global_routes_matlab.mat</x:v>
      </x:c>
      <x:c r="R11" s="46" t="n">
        <x:v>1</x:v>
      </x:c>
    </x:row>
    <x:row r="12">
      <x:c r="A12" s="20" t="str">
        <x:v>T3-1-D2-CB-M2</x:v>
      </x:c>
      <x:c r="B12" s="20" t="n">
        <x:v>2</x:v>
      </x:c>
      <x:c r="C12" s="20" t="str">
        <x:v>Craig-Bampton</x:v>
      </x:c>
      <x:c r="D12" s="20" t="n">
        <x:v>2</x:v>
      </x:c>
      <x:c r="E12" s="29" t="n">
        <x:f>'频率输入'!F12</x:f>
        <x:v>9.328408686762627</x:v>
      </x:c>
      <x:c r="F12" s="29" t="n">
        <x:f>'频率输入'!G12</x:f>
        <x:v>9.338463296951838</x:v>
      </x:c>
      <x:c r="G12" s="29" t="n">
        <x:f>100*ABS(F12-E12)/E12</x:f>
        <x:v>0.10778483798077232</x:v>
      </x:c>
      <x:c r="H12" s="29" t="n">
        <x:f>'频率输入'!H12</x:f>
        <x:v>0.834</x:v>
      </x:c>
      <x:c r="I12" s="43" t="n">
        <x:f>'频率输入'!I12</x:f>
        <x:v>3</x:v>
      </x:c>
      <x:c r="J12" s="40" t="n">
        <x:f>ROUND(G12,I12)</x:f>
        <x:v>0.108</x:v>
      </x:c>
      <x:c r="K12" s="40" t="n">
        <x:f>ABS(G12-H12)</x:f>
        <x:v>0.7262151620192276</x:v>
      </x:c>
      <x:c r="L12" s="45" t="n">
        <x:f>IF(ABS(J12-H12)&lt;='论文合同'!$B$5,1,0)</x:f>
        <x:v>0</x:v>
      </x:c>
      <x:c r="M12" s="40" t="n">
        <x:v>0.10778483798077232</x:v>
      </x:c>
      <x:c r="N12" s="40" t="n">
        <x:f>ABS(G12-M12)</x:f>
        <x:v>0</x:v>
      </x:c>
      <x:c r="O12" s="46" t="n">
        <x:v>1</x:v>
      </x:c>
      <x:c r="P12" s="20" t="str">
        <x:v>历史值/待决定</x:v>
      </x:c>
      <x:c r="Q12" s="20" t="str">
        <x:v>input/board17/outputs/global_routes_matlab.mat</x:v>
      </x:c>
      <x:c r="R12" s="46" t="n">
        <x:v>1</x:v>
      </x:c>
    </x:row>
  </x:sheetData>
  <x:mergeCells>
    <x:mergeCell ref="A1:R1"/>
    <x:mergeCell ref="A2:R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" hidden="0" customWidth="1"/>
    <x:col min="3" max="3" width="17" hidden="0" customWidth="1"/>
    <x:col min="4" max="4" width="7" hidden="0" customWidth="1"/>
    <x:col min="5" max="5" width="10" hidden="0" customWidth="1"/>
    <x:col min="6" max="6" width="10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4" hidden="0" customWidth="1"/>
    <x:col min="13" max="13" width="7" hidden="0" customWidth="1"/>
    <x:col min="14" max="14" width="17" hidden="0" customWidth="1"/>
    <x:col min="15" max="15" width="26" hidden="0" customWidth="1"/>
    <x:col min="16" max="16" width="7" hidden="0" customWidth="1"/>
    <x:col min="17" max="17" width="8" hidden="0" customWidth="1"/>
    <x:col min="18" max="18" width="10" hidden="0" customWidth="1"/>
    <x:col min="19" max="19" width="10" hidden="0" customWidth="1"/>
    <x:col min="20" max="20" width="13" hidden="0" customWidth="1"/>
    <x:col min="21" max="21" width="9" hidden="0" customWidth="1"/>
    <x:col min="22" max="22" width="16" hidden="0" customWidth="1"/>
    <x:col min="23" max="23" width="38" hidden="0" customWidth="1"/>
    <x:col min="24" max="24" width="26" hidden="0" customWidth="1"/>
  </x:cols>
  <x:sheetData>
    <x:row r="1" ht="30" customHeight="1">
      <x:c r="A1" s="3" t="str">
        <x:v>表3-2冻结模态向量输入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</x:row>
    <x:row r="2" ht="36" customHeight="1">
      <x:c r="A2" s="7" t="str">
        <x:v>左侧44行给出正确自然自由度顺序下的模态向量；I—K列由Excel计算点积和平方。右侧为8个MAC单元格合同。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</x:row>
    <x:row r="4" ht="34" customHeight="1">
      <x:c r="A4" s="17" t="str">
        <x:v>单元格ID</x:v>
      </x:c>
      <x:c r="B4" s="17" t="str">
        <x:v>划分</x:v>
      </x:c>
      <x:c r="C4" s="17" t="str">
        <x:v>方法</x:v>
      </x:c>
      <x:c r="D4" s="17" t="str">
        <x:v>阶次</x:v>
      </x:c>
      <x:c r="E4" s="17" t="str">
        <x:v>向量位置</x:v>
      </x:c>
      <x:c r="F4" s="17" t="str">
        <x:v>自然DOF</x:v>
      </x:c>
      <x:c r="G4" s="17" t="str">
        <x:v>全阶分量</x:v>
      </x:c>
      <x:c r="H4" s="17" t="str">
        <x:v>缩聚分量</x:v>
      </x:c>
      <x:c r="I4" s="17" t="str">
        <x:v>分量乘积</x:v>
      </x:c>
      <x:c r="J4" s="17" t="str">
        <x:v>全阶平方</x:v>
      </x:c>
      <x:c r="K4" s="17" t="str">
        <x:v>缩聚平方</x:v>
      </x:c>
      <x:c r="L4" s="17" t="str">
        <x:v>单元格ID</x:v>
      </x:c>
      <x:c r="M4" s="17" t="str">
        <x:v>划分</x:v>
      </x:c>
      <x:c r="N4" s="17" t="str">
        <x:v>方法</x:v>
      </x:c>
      <x:c r="O4" s="17" t="str">
        <x:v>路线</x:v>
      </x:c>
      <x:c r="P4" s="17" t="str">
        <x:v>阶次</x:v>
      </x:c>
      <x:c r="Q4" s="17" t="str">
        <x:v>维数</x:v>
      </x:c>
      <x:c r="R4" s="17" t="str">
        <x:v>数据起点</x:v>
      </x:c>
      <x:c r="S4" s="17" t="str">
        <x:v>数据终点</x:v>
      </x:c>
      <x:c r="T4" s="17" t="str">
        <x:v>论文值</x:v>
      </x:c>
      <x:c r="U4" s="17" t="str">
        <x:v>小数位</x:v>
      </x:c>
      <x:c r="V4" s="17" t="str">
        <x:v>Python值</x:v>
      </x:c>
      <x:c r="W4" s="17" t="str">
        <x:v>来源</x:v>
      </x:c>
      <x:c r="X4" s="17" t="str">
        <x:v>SHA-256</x:v>
      </x:c>
    </x:row>
    <x:row r="5">
      <x:c r="A5" s="20" t="str">
        <x:v>T3-2-D1-G-M1</x:v>
      </x:c>
      <x:c r="B5" s="20" t="n">
        <x:v>1</x:v>
      </x:c>
      <x:c r="C5" s="20" t="str">
        <x:v>Guyan</x:v>
      </x:c>
      <x:c r="D5" s="20" t="n">
        <x:v>1</x:v>
      </x:c>
      <x:c r="E5" s="20" t="n">
        <x:v>1</x:v>
      </x:c>
      <x:c r="F5" s="20" t="n">
        <x:v>1</x:v>
      </x:c>
      <x:c r="G5" s="47" t="n">
        <x:v>-0.12363651723091414</x:v>
      </x:c>
      <x:c r="H5" s="47" t="n">
        <x:v>-0.17667925845149482</x:v>
      </x:c>
      <x:c r="I5" s="48" t="n">
        <x:f>G5*H5</x:f>
        <x:v>0.02184400818188337</x:v>
      </x:c>
      <x:c r="J5" s="48" t="n">
        <x:f>G5^2</x:f>
        <x:v>0.015285988392990129</x:v>
      </x:c>
      <x:c r="K5" s="48" t="n">
        <x:f>H5^2</x:f>
        <x:v>0.031215560366970103</x:v>
      </x:c>
      <x:c r="L5" s="20" t="str">
        <x:v>T3-2-D1-G-M1</x:v>
      </x:c>
      <x:c r="M5" s="20" t="n">
        <x:v>1</x:v>
      </x:c>
      <x:c r="N5" s="20" t="str">
        <x:v>Guyan</x:v>
      </x:c>
      <x:c r="O5" s="20" t="str">
        <x:v>boundary_correct_master</x:v>
      </x:c>
      <x:c r="P5" s="20" t="n">
        <x:v>1</x:v>
      </x:c>
      <x:c r="Q5" s="20" t="n">
        <x:v>6</x:v>
      </x:c>
      <x:c r="R5" s="20" t="n">
        <x:v>1</x:v>
      </x:c>
      <x:c r="S5" s="20" t="n">
        <x:v>6</x:v>
      </x:c>
      <x:c r="T5" s="29" t="n">
        <x:v>1</x:v>
      </x:c>
      <x:c r="U5" s="43" t="n">
        <x:v>4</x:v>
      </x:c>
      <x:c r="V5" s="29" t="n">
        <x:v>0.9999966585085782</x:v>
      </x:c>
      <x:c r="W5" s="20" t="str">
        <x:v>input/board17/outputs/global_routes_matlab.mat</x:v>
      </x:c>
      <x:c r="X5" s="20" t="str">
        <x:v>A58A830134259585ECD091BA37B3A69640E79D3AA10B5094E106F2EC01ED56ED</x:v>
      </x:c>
    </x:row>
    <x:row r="6">
      <x:c r="A6" s="20" t="str">
        <x:v>T3-2-D1-G-M1</x:v>
      </x:c>
      <x:c r="B6" s="20" t="n">
        <x:v>1</x:v>
      </x:c>
      <x:c r="C6" s="20" t="str">
        <x:v>Guyan</x:v>
      </x:c>
      <x:c r="D6" s="20" t="n">
        <x:v>1</x:v>
      </x:c>
      <x:c r="E6" s="20" t="n">
        <x:v>2</x:v>
      </x:c>
      <x:c r="F6" s="20" t="n">
        <x:v>6</x:v>
      </x:c>
      <x:c r="G6" s="47" t="n">
        <x:v>-0.3232722452969348</x:v>
      </x:c>
      <x:c r="H6" s="47" t="n">
        <x:v>-0.4608772792963317</x:v>
      </x:c>
      <x:c r="I6" s="48" t="n">
        <x:f>G6*H6</x:f>
        <x:v>0.14898883288446768</x:v>
      </x:c>
      <x:c r="J6" s="48" t="n">
        <x:f>G6^2</x:f>
        <x:v>0.1045049445793216</x:v>
      </x:c>
      <x:c r="K6" s="48" t="n">
        <x:f>H6^2</x:f>
        <x:v>0.21240786657158894</x:v>
      </x:c>
      <x:c r="L6" s="20" t="str">
        <x:v>T3-2-D1-G-M2</x:v>
      </x:c>
      <x:c r="M6" s="20" t="n">
        <x:v>1</x:v>
      </x:c>
      <x:c r="N6" s="20" t="str">
        <x:v>Guyan</x:v>
      </x:c>
      <x:c r="O6" s="20" t="str">
        <x:v>boundary_correct_master</x:v>
      </x:c>
      <x:c r="P6" s="20" t="n">
        <x:v>2</x:v>
      </x:c>
      <x:c r="Q6" s="20" t="n">
        <x:v>6</x:v>
      </x:c>
      <x:c r="R6" s="20" t="n">
        <x:v>7</x:v>
      </x:c>
      <x:c r="S6" s="20" t="n">
        <x:v>12</x:v>
      </x:c>
      <x:c r="T6" s="29" t="n">
        <x:v>0.9998</x:v>
      </x:c>
      <x:c r="U6" s="43" t="n">
        <x:v>4</x:v>
      </x:c>
      <x:c r="V6" s="29" t="n">
        <x:v>0.9997727680699968</x:v>
      </x:c>
      <x:c r="W6" s="20" t="str">
        <x:v>input/board17/outputs/global_routes_matlab.mat</x:v>
      </x:c>
      <x:c r="X6" s="20" t="str">
        <x:v>A58A830134259585ECD091BA37B3A69640E79D3AA10B5094E106F2EC01ED56ED</x:v>
      </x:c>
    </x:row>
    <x:row r="7">
      <x:c r="A7" s="20" t="str">
        <x:v>T3-2-D1-G-M1</x:v>
      </x:c>
      <x:c r="B7" s="20" t="n">
        <x:v>1</x:v>
      </x:c>
      <x:c r="C7" s="20" t="str">
        <x:v>Guyan</x:v>
      </x:c>
      <x:c r="D7" s="20" t="n">
        <x:v>1</x:v>
      </x:c>
      <x:c r="E7" s="20" t="n">
        <x:v>3</x:v>
      </x:c>
      <x:c r="F7" s="20" t="n">
        <x:v>11</x:v>
      </x:c>
      <x:c r="G7" s="47" t="n">
        <x:v>-0.47910634634315946</x:v>
      </x:c>
      <x:c r="H7" s="47" t="n">
        <x:v>-0.6817248644291869</x:v>
      </x:c>
      <x:c r="I7" s="48" t="n">
        <x:f>G7*H7</x:f>
        <x:v>0.3266187090079534</x:v>
      </x:c>
      <x:c r="J7" s="48" t="n">
        <x:f>G7^2</x:f>
        <x:v>0.22954289110629147</x:v>
      </x:c>
      <x:c r="K7" s="48" t="n">
        <x:f>H7^2</x:f>
        <x:v>0.46474879078099324</x:v>
      </x:c>
      <x:c r="L7" s="20" t="str">
        <x:v>T3-2-D1-CB-M1</x:v>
      </x:c>
      <x:c r="M7" s="20" t="n">
        <x:v>1</x:v>
      </x:c>
      <x:c r="N7" s="20" t="str">
        <x:v>Craig-Bampton</x:v>
      </x:c>
      <x:c r="O7" s="20" t="str">
        <x:v>boundary_correct_master</x:v>
      </x:c>
      <x:c r="P7" s="20" t="n">
        <x:v>1</x:v>
      </x:c>
      <x:c r="Q7" s="20" t="n">
        <x:v>6</x:v>
      </x:c>
      <x:c r="R7" s="20" t="n">
        <x:v>13</x:v>
      </x:c>
      <x:c r="S7" s="20" t="n">
        <x:v>18</x:v>
      </x:c>
      <x:c r="T7" s="29" t="n">
        <x:v>1</x:v>
      </x:c>
      <x:c r="U7" s="43" t="n">
        <x:v>4</x:v>
      </x:c>
      <x:c r="V7" s="29" t="n">
        <x:v>0.9999999999676727</x:v>
      </x:c>
      <x:c r="W7" s="20" t="str">
        <x:v>input/board17/outputs/global_routes_matlab.mat</x:v>
      </x:c>
      <x:c r="X7" s="20" t="str">
        <x:v>A58A830134259585ECD091BA37B3A69640E79D3AA10B5094E106F2EC01ED56ED</x:v>
      </x:c>
    </x:row>
    <x:row r="8">
      <x:c r="A8" s="20" t="str">
        <x:v>T3-2-D1-G-M1</x:v>
      </x:c>
      <x:c r="B8" s="20" t="n">
        <x:v>1</x:v>
      </x:c>
      <x:c r="C8" s="20" t="str">
        <x:v>Guyan</x:v>
      </x:c>
      <x:c r="D8" s="20" t="n">
        <x:v>1</x:v>
      </x:c>
      <x:c r="E8" s="20" t="n">
        <x:v>4</x:v>
      </x:c>
      <x:c r="F8" s="20" t="n">
        <x:v>4</x:v>
      </x:c>
      <x:c r="G8" s="47" t="n">
        <x:v>0.24572318833138243</x:v>
      </x:c>
      <x:c r="H8" s="47" t="n">
        <x:v>0.35073990477333433</x:v>
      </x:c>
      <x:c r="I8" s="48" t="n">
        <x:f>G8*H8</x:f>
        <x:v>0.08618492767594917</x:v>
      </x:c>
      <x:c r="J8" s="48" t="n">
        <x:f>G8^2</x:f>
        <x:v>0.06037988528374004</x:v>
      </x:c>
      <x:c r="K8" s="48" t="n">
        <x:f>H8^2</x:f>
        <x:v>0.12301848080040764</x:v>
      </x:c>
      <x:c r="L8" s="20" t="str">
        <x:v>T3-2-D1-CB-M2</x:v>
      </x:c>
      <x:c r="M8" s="20" t="n">
        <x:v>1</x:v>
      </x:c>
      <x:c r="N8" s="20" t="str">
        <x:v>Craig-Bampton</x:v>
      </x:c>
      <x:c r="O8" s="20" t="str">
        <x:v>boundary_correct_master</x:v>
      </x:c>
      <x:c r="P8" s="20" t="n">
        <x:v>2</x:v>
      </x:c>
      <x:c r="Q8" s="20" t="n">
        <x:v>6</x:v>
      </x:c>
      <x:c r="R8" s="20" t="n">
        <x:v>19</x:v>
      </x:c>
      <x:c r="S8" s="20" t="n">
        <x:v>24</x:v>
      </x:c>
      <x:c r="T8" s="29" t="n">
        <x:v>1</x:v>
      </x:c>
      <x:c r="U8" s="43" t="n">
        <x:v>4</x:v>
      </x:c>
      <x:c r="V8" s="29" t="n">
        <x:v>0.9999996674405369</x:v>
      </x:c>
      <x:c r="W8" s="20" t="str">
        <x:v>input/board17/outputs/global_routes_matlab.mat</x:v>
      </x:c>
      <x:c r="X8" s="20" t="str">
        <x:v>A58A830134259585ECD091BA37B3A69640E79D3AA10B5094E106F2EC01ED56ED</x:v>
      </x:c>
    </x:row>
    <x:row r="9">
      <x:c r="A9" s="20" t="str">
        <x:v>T3-2-D1-G-M1</x:v>
      </x:c>
      <x:c r="B9" s="20" t="n">
        <x:v>1</x:v>
      </x:c>
      <x:c r="C9" s="20" t="str">
        <x:v>Guyan</x:v>
      </x:c>
      <x:c r="D9" s="20" t="n">
        <x:v>1</x:v>
      </x:c>
      <x:c r="E9" s="20" t="n">
        <x:v>5</x:v>
      </x:c>
      <x:c r="F9" s="20" t="n">
        <x:v>9</x:v>
      </x:c>
      <x:c r="G9" s="47" t="n">
        <x:v>0.24633127152220483</x:v>
      </x:c>
      <x:c r="H9" s="47" t="n">
        <x:v>0.3498899077587008</x:v>
      </x:c>
      <x:c r="I9" s="48" t="n">
        <x:f>G9*H9</x:f>
        <x:v>0.08618882587098774</x:v>
      </x:c>
      <x:c r="J9" s="48" t="n">
        <x:f>G9^2</x:f>
        <x:v>0.0606790953297462</x:v>
      </x:c>
      <x:c r="K9" s="48" t="n">
        <x:f>H9^2</x:f>
        <x:v>0.12242294755139217</x:v>
      </x:c>
      <x:c r="L9" s="20" t="str">
        <x:v>T3-2-D2-G-M1</x:v>
      </x:c>
      <x:c r="M9" s="20" t="n">
        <x:v>2</x:v>
      </x:c>
      <x:c r="N9" s="20" t="str">
        <x:v>Guyan</x:v>
      </x:c>
      <x:c r="O9" s="20" t="str">
        <x:v>boundary_correct_master</x:v>
      </x:c>
      <x:c r="P9" s="20" t="n">
        <x:v>1</x:v>
      </x:c>
      <x:c r="Q9" s="20" t="n">
        <x:v>5</x:v>
      </x:c>
      <x:c r="R9" s="20" t="n">
        <x:v>25</x:v>
      </x:c>
      <x:c r="S9" s="20" t="n">
        <x:v>29</x:v>
      </x:c>
      <x:c r="T9" s="29" t="n">
        <x:v>0.9962</x:v>
      </x:c>
      <x:c r="U9" s="43" t="n">
        <x:v>4</x:v>
      </x:c>
      <x:c r="V9" s="29" t="n">
        <x:v>0.9961675456844347</x:v>
      </x:c>
      <x:c r="W9" s="20" t="str">
        <x:v>input/board17/outputs/global_routes_matlab.mat</x:v>
      </x:c>
      <x:c r="X9" s="20" t="str">
        <x:v>A58A830134259585ECD091BA37B3A69640E79D3AA10B5094E106F2EC01ED56ED</x:v>
      </x:c>
    </x:row>
    <x:row r="10">
      <x:c r="A10" s="20" t="str">
        <x:v>T3-2-D1-G-M1</x:v>
      </x:c>
      <x:c r="B10" s="20" t="n">
        <x:v>1</x:v>
      </x:c>
      <x:c r="C10" s="20" t="str">
        <x:v>Guyan</x:v>
      </x:c>
      <x:c r="D10" s="20" t="n">
        <x:v>1</x:v>
      </x:c>
      <x:c r="E10" s="20" t="n">
        <x:v>6</x:v>
      </x:c>
      <x:c r="F10" s="20" t="n">
        <x:v>14</x:v>
      </x:c>
      <x:c r="G10" s="47" t="n">
        <x:v>0.1516132666185856</x:v>
      </x:c>
      <x:c r="H10" s="47" t="n">
        <x:v>0.2149101066228574</x:v>
      </x:c>
      <x:c r="I10" s="48" t="n">
        <x:f>G10*H10</x:f>
        <x:v>0.03258322329443994</x:v>
      </x:c>
      <x:c r="J10" s="48" t="n">
        <x:f>G10^2</x:f>
        <x:v>0.022986582614758323</x:v>
      </x:c>
      <x:c r="K10" s="48" t="n">
        <x:f>H10^2</x:f>
        <x:v>0.046186353928647936</x:v>
      </x:c>
      <x:c r="L10" s="20" t="str">
        <x:v>T3-2-D2-G-M2</x:v>
      </x:c>
      <x:c r="M10" s="20" t="n">
        <x:v>2</x:v>
      </x:c>
      <x:c r="N10" s="20" t="str">
        <x:v>Guyan</x:v>
      </x:c>
      <x:c r="O10" s="20" t="str">
        <x:v>boundary_correct_master</x:v>
      </x:c>
      <x:c r="P10" s="20" t="n">
        <x:v>2</x:v>
      </x:c>
      <x:c r="Q10" s="20" t="n">
        <x:v>5</x:v>
      </x:c>
      <x:c r="R10" s="20" t="n">
        <x:v>30</x:v>
      </x:c>
      <x:c r="S10" s="20" t="n">
        <x:v>34</x:v>
      </x:c>
      <x:c r="T10" s="29" t="n">
        <x:v>0.9255</x:v>
      </x:c>
      <x:c r="U10" s="43" t="n">
        <x:v>4</x:v>
      </x:c>
      <x:c r="V10" s="29" t="n">
        <x:v>0.9254993073696836</x:v>
      </x:c>
      <x:c r="W10" s="20" t="str">
        <x:v>input/board17/outputs/global_routes_matlab.mat</x:v>
      </x:c>
      <x:c r="X10" s="20" t="str">
        <x:v>A58A830134259585ECD091BA37B3A69640E79D3AA10B5094E106F2EC01ED56ED</x:v>
      </x:c>
    </x:row>
    <x:row r="11">
      <x:c r="A11" s="20" t="str">
        <x:v>T3-2-D1-G-M2</x:v>
      </x:c>
      <x:c r="B11" s="20" t="n">
        <x:v>1</x:v>
      </x:c>
      <x:c r="C11" s="20" t="str">
        <x:v>Guyan</x:v>
      </x:c>
      <x:c r="D11" s="20" t="n">
        <x:v>2</x:v>
      </x:c>
      <x:c r="E11" s="20" t="n">
        <x:v>1</x:v>
      </x:c>
      <x:c r="F11" s="20" t="n">
        <x:v>1</x:v>
      </x:c>
      <x:c r="G11" s="47" t="n">
        <x:v>-0.14084441588859983</x:v>
      </x:c>
      <x:c r="H11" s="47" t="n">
        <x:v>0.2831681896158367</x:v>
      </x:c>
      <x:c r="I11" s="48" t="n">
        <x:f>G11*H11</x:f>
        <x:v>-0.0398826582646748</x:v>
      </x:c>
      <x:c r="J11" s="48" t="n">
        <x:f>G11^2</x:f>
        <x:v>0.019837149487000872</x:v>
      </x:c>
      <x:c r="K11" s="48" t="n">
        <x:f>H11^2</x:f>
        <x:v>0.08018422361031043</x:v>
      </x:c>
      <x:c r="L11" s="20" t="str">
        <x:v>T3-2-D2-CB-M1</x:v>
      </x:c>
      <x:c r="M11" s="20" t="n">
        <x:v>2</x:v>
      </x:c>
      <x:c r="N11" s="20" t="str">
        <x:v>Craig-Bampton</x:v>
      </x:c>
      <x:c r="O11" s="20" t="str">
        <x:v>boundary_correct_master</x:v>
      </x:c>
      <x:c r="P11" s="20" t="n">
        <x:v>1</x:v>
      </x:c>
      <x:c r="Q11" s="20" t="n">
        <x:v>5</x:v>
      </x:c>
      <x:c r="R11" s="20" t="n">
        <x:v>35</x:v>
      </x:c>
      <x:c r="S11" s="20" t="n">
        <x:v>39</x:v>
      </x:c>
      <x:c r="T11" s="29" t="n">
        <x:v>1</x:v>
      </x:c>
      <x:c r="U11" s="43" t="n">
        <x:v>4</x:v>
      </x:c>
      <x:c r="V11" s="29" t="n">
        <x:v>0.9999999998170523</x:v>
      </x:c>
      <x:c r="W11" s="20" t="str">
        <x:v>input/board17/outputs/global_routes_matlab.mat</x:v>
      </x:c>
      <x:c r="X11" s="20" t="str">
        <x:v>A58A830134259585ECD091BA37B3A69640E79D3AA10B5094E106F2EC01ED56ED</x:v>
      </x:c>
    </x:row>
    <x:row r="12">
      <x:c r="A12" s="20" t="str">
        <x:v>T3-2-D1-G-M2</x:v>
      </x:c>
      <x:c r="B12" s="20" t="n">
        <x:v>1</x:v>
      </x:c>
      <x:c r="C12" s="20" t="str">
        <x:v>Guyan</x:v>
      </x:c>
      <x:c r="D12" s="20" t="n">
        <x:v>2</x:v>
      </x:c>
      <x:c r="E12" s="20" t="n">
        <x:v>2</x:v>
      </x:c>
      <x:c r="F12" s="20" t="n">
        <x:v>6</x:v>
      </x:c>
      <x:c r="G12" s="47" t="n">
        <x:v>-0.1357681301199795</x:v>
      </x:c>
      <x:c r="H12" s="47" t="n">
        <x:v>0.2595821718561219</x:v>
      </x:c>
      <x:c r="I12" s="48" t="n">
        <x:f>G12*H12</x:f>
        <x:v>-0.035242986085388846</x:v>
      </x:c>
      <x:c r="J12" s="48" t="n">
        <x:f>G12^2</x:f>
        <x:v>0.01843298515627569</x:v>
      </x:c>
      <x:c r="K12" s="48" t="n">
        <x:f>H12^2</x:f>
        <x:v>0.06738290394554122</x:v>
      </x:c>
      <x:c r="L12" s="20" t="str">
        <x:v>T3-2-D2-CB-M2</x:v>
      </x:c>
      <x:c r="M12" s="20" t="n">
        <x:v>2</x:v>
      </x:c>
      <x:c r="N12" s="20" t="str">
        <x:v>Craig-Bampton</x:v>
      </x:c>
      <x:c r="O12" s="20" t="str">
        <x:v>boundary_correct_master</x:v>
      </x:c>
      <x:c r="P12" s="20" t="n">
        <x:v>2</x:v>
      </x:c>
      <x:c r="Q12" s="20" t="n">
        <x:v>5</x:v>
      </x:c>
      <x:c r="R12" s="20" t="n">
        <x:v>40</x:v>
      </x:c>
      <x:c r="S12" s="20" t="n">
        <x:v>44</x:v>
      </x:c>
      <x:c r="T12" s="29" t="n">
        <x:v>0.9998</x:v>
      </x:c>
      <x:c r="U12" s="43" t="n">
        <x:v>4</x:v>
      </x:c>
      <x:c r="V12" s="29" t="n">
        <x:v>0.9999997834110754</x:v>
      </x:c>
      <x:c r="W12" s="20" t="str">
        <x:v>input/board17/outputs/global_routes_matlab.mat</x:v>
      </x:c>
      <x:c r="X12" s="20" t="str">
        <x:v>A58A830134259585ECD091BA37B3A69640E79D3AA10B5094E106F2EC01ED56ED</x:v>
      </x:c>
    </x:row>
    <x:row r="13">
      <x:c r="A13" s="20" t="str">
        <x:v>T3-2-D1-G-M2</x:v>
      </x:c>
      <x:c r="B13" s="20" t="n">
        <x:v>1</x:v>
      </x:c>
      <x:c r="C13" s="20" t="str">
        <x:v>Guyan</x:v>
      </x:c>
      <x:c r="D13" s="20" t="n">
        <x:v>2</x:v>
      </x:c>
      <x:c r="E13" s="20" t="n">
        <x:v>3</x:v>
      </x:c>
      <x:c r="F13" s="20" t="n">
        <x:v>11</x:v>
      </x:c>
      <x:c r="G13" s="47" t="n">
        <x:v>0.12212311786165539</x:v>
      </x:c>
      <x:c r="H13" s="47" t="n">
        <x:v>-0.2459292135218536</x:v>
      </x:c>
      <x:c r="I13" s="48" t="n">
        <x:f>G13*H13</x:f>
        <x:v>-0.03003364232855354</x:v>
      </x:c>
      <x:c r="J13" s="48" t="n">
        <x:f>G13^2</x:f>
        <x:v>0.014914055916251773</x:v>
      </x:c>
      <x:c r="K13" s="48" t="n">
        <x:f>H13^2</x:f>
        <x:v>0.060481178063477456</x:v>
      </x:c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</x:row>
    <x:row r="14">
      <x:c r="A14" s="20" t="str">
        <x:v>T3-2-D1-G-M2</x:v>
      </x:c>
      <x:c r="B14" s="20" t="n">
        <x:v>1</x:v>
      </x:c>
      <x:c r="C14" s="20" t="str">
        <x:v>Guyan</x:v>
      </x:c>
      <x:c r="D14" s="20" t="n">
        <x:v>2</x:v>
      </x:c>
      <x:c r="E14" s="20" t="n">
        <x:v>4</x:v>
      </x:c>
      <x:c r="F14" s="20" t="n">
        <x:v>4</x:v>
      </x:c>
      <x:c r="G14" s="47" t="n">
        <x:v>0.175675301142155</x:v>
      </x:c>
      <x:c r="H14" s="47" t="n">
        <x:v>-0.3465720994753619</x:v>
      </x:c>
      <x:c r="I14" s="48" t="n">
        <x:f>G14*H14</x:f>
        <x:v>-0.060884157942803094</x:v>
      </x:c>
      <x:c r="J14" s="48" t="n">
        <x:f>G14^2</x:f>
        <x:v>0.030861811431386842</x:v>
      </x:c>
      <x:c r="K14" s="48" t="n">
        <x:f>H14^2</x:f>
        <x:v>0.12011222013476014</x:v>
      </x:c>
      <x:c r="L14" s="20"/>
      <x:c r="M14" s="20"/>
      <x:c r="N14" s="20"/>
      <x:c r="O14" s="20"/>
      <x:c r="P14" s="20"/>
      <x:c r="Q14" s="20"/>
      <x:c r="R14" s="20"/>
      <x:c r="S14" s="20"/>
      <x:c r="T14" s="20"/>
      <x:c r="U14" s="20"/>
      <x:c r="V14" s="20"/>
      <x:c r="W14" s="20"/>
      <x:c r="X14" s="20"/>
    </x:row>
    <x:row r="15">
      <x:c r="A15" s="20" t="str">
        <x:v>T3-2-D1-G-M2</x:v>
      </x:c>
      <x:c r="B15" s="20" t="n">
        <x:v>1</x:v>
      </x:c>
      <x:c r="C15" s="20" t="str">
        <x:v>Guyan</x:v>
      </x:c>
      <x:c r="D15" s="20" t="n">
        <x:v>2</x:v>
      </x:c>
      <x:c r="E15" s="20" t="n">
        <x:v>5</x:v>
      </x:c>
      <x:c r="F15" s="20" t="n">
        <x:v>9</x:v>
      </x:c>
      <x:c r="G15" s="47" t="n">
        <x:v>-0.2202968662420292</x:v>
      </x:c>
      <x:c r="H15" s="47" t="n">
        <x:v>0.4468922976888602</x:v>
      </x:c>
      <x:c r="I15" s="48" t="n">
        <x:f>G15*H15</x:f>
        <x:v>-0.09844897272855593</x:v>
      </x:c>
      <x:c r="J15" s="48" t="n">
        <x:f>G15^2</x:f>
        <x:v>0.04853070927605851</x:v>
      </x:c>
      <x:c r="K15" s="48" t="n">
        <x:f>H15^2</x:f>
        <x:v>0.19971272573362883</x:v>
      </x:c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</x:row>
    <x:row r="16">
      <x:c r="A16" s="20" t="str">
        <x:v>T3-2-D1-G-M2</x:v>
      </x:c>
      <x:c r="B16" s="20" t="n">
        <x:v>1</x:v>
      </x:c>
      <x:c r="C16" s="20" t="str">
        <x:v>Guyan</x:v>
      </x:c>
      <x:c r="D16" s="20" t="n">
        <x:v>2</x:v>
      </x:c>
      <x:c r="E16" s="20" t="n">
        <x:v>6</x:v>
      </x:c>
      <x:c r="F16" s="20" t="n">
        <x:v>14</x:v>
      </x:c>
      <x:c r="G16" s="47" t="n">
        <x:v>-0.3413356617606379</x:v>
      </x:c>
      <x:c r="H16" s="47" t="n">
        <x:v>0.6871148000969575</x:v>
      </x:c>
      <x:c r="I16" s="48" t="n">
        <x:f>G16*H16</x:f>
        <x:v>-0.2345367849966234</x:v>
      </x:c>
      <x:c r="J16" s="48" t="n">
        <x:f>G16^2</x:f>
        <x:v>0.1165100339895726</x:v>
      </x:c>
      <x:c r="K16" s="48" t="n">
        <x:f>H16^2</x:f>
        <x:v>0.4721267485122818</x:v>
      </x:c>
      <x:c r="L16" s="20"/>
      <x:c r="M16" s="20"/>
      <x:c r="N16" s="20"/>
      <x:c r="O16" s="20"/>
      <x:c r="P16" s="20"/>
      <x:c r="Q16" s="20"/>
      <x:c r="R16" s="20"/>
      <x:c r="S16" s="20"/>
      <x:c r="T16" s="20"/>
      <x:c r="U16" s="20"/>
      <x:c r="V16" s="20"/>
      <x:c r="W16" s="20"/>
      <x:c r="X16" s="20"/>
    </x:row>
    <x:row r="17">
      <x:c r="A17" s="20" t="str">
        <x:v>T3-2-D1-CB-M1</x:v>
      </x:c>
      <x:c r="B17" s="20" t="n">
        <x:v>1</x:v>
      </x:c>
      <x:c r="C17" s="20" t="str">
        <x:v>Craig-Bampton</x:v>
      </x:c>
      <x:c r="D17" s="20" t="n">
        <x:v>1</x:v>
      </x:c>
      <x:c r="E17" s="20" t="n">
        <x:v>1</x:v>
      </x:c>
      <x:c r="F17" s="20" t="n">
        <x:v>1</x:v>
      </x:c>
      <x:c r="G17" s="47" t="n">
        <x:v>-0.12363651723091414</x:v>
      </x:c>
      <x:c r="H17" s="47" t="n">
        <x:v>-0.17599215646522487</x:v>
      </x:c>
      <x:c r="I17" s="48" t="n">
        <x:f>G17*H17</x:f>
        <x:v>0.02175905728531851</x:v>
      </x:c>
      <x:c r="J17" s="48" t="n">
        <x:f>G17^2</x:f>
        <x:v>0.015285988392990129</x:v>
      </x:c>
      <x:c r="K17" s="48" t="n">
        <x:f>H17^2</x:f>
        <x:v>0.03097323913728019</x:v>
      </x:c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</x:row>
    <x:row r="18">
      <x:c r="A18" s="20" t="str">
        <x:v>T3-2-D1-CB-M1</x:v>
      </x:c>
      <x:c r="B18" s="20" t="n">
        <x:v>1</x:v>
      </x:c>
      <x:c r="C18" s="20" t="str">
        <x:v>Craig-Bampton</x:v>
      </x:c>
      <x:c r="D18" s="20" t="n">
        <x:v>1</x:v>
      </x:c>
      <x:c r="E18" s="20" t="n">
        <x:v>2</x:v>
      </x:c>
      <x:c r="F18" s="20" t="n">
        <x:v>6</x:v>
      </x:c>
      <x:c r="G18" s="47" t="n">
        <x:v>-0.3232722452969348</x:v>
      </x:c>
      <x:c r="H18" s="47" t="n">
        <x:v>-0.46016178447650885</x:v>
      </x:c>
      <x:c r="I18" s="48" t="n">
        <x:f>G18*H18</x:f>
        <x:v>0.14875753326756522</x:v>
      </x:c>
      <x:c r="J18" s="48" t="n">
        <x:f>G18^2</x:f>
        <x:v>0.1045049445793216</x:v>
      </x:c>
      <x:c r="K18" s="48" t="n">
        <x:f>H18^2</x:f>
        <x:v>0.21174886789260497</x:v>
      </x:c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</x:row>
    <x:row r="19">
      <x:c r="A19" s="20" t="str">
        <x:v>T3-2-D1-CB-M1</x:v>
      </x:c>
      <x:c r="B19" s="20" t="n">
        <x:v>1</x:v>
      </x:c>
      <x:c r="C19" s="20" t="str">
        <x:v>Craig-Bampton</x:v>
      </x:c>
      <x:c r="D19" s="20" t="n">
        <x:v>1</x:v>
      </x:c>
      <x:c r="E19" s="20" t="n">
        <x:v>3</x:v>
      </x:c>
      <x:c r="F19" s="20" t="n">
        <x:v>11</x:v>
      </x:c>
      <x:c r="G19" s="47" t="n">
        <x:v>-0.47910634634315946</x:v>
      </x:c>
      <x:c r="H19" s="47" t="n">
        <x:v>-0.6819800938851668</x:v>
      </x:c>
      <x:c r="I19" s="48" t="n">
        <x:f>G19*H19</x:f>
        <x:v>0.32674099106008714</x:v>
      </x:c>
      <x:c r="J19" s="48" t="n">
        <x:f>G19^2</x:f>
        <x:v>0.22954289110629147</x:v>
      </x:c>
      <x:c r="K19" s="48" t="n">
        <x:f>H19^2</x:f>
        <x:v>0.4650968484556209</x:v>
      </x:c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</x:row>
    <x:row r="20">
      <x:c r="A20" s="20" t="str">
        <x:v>T3-2-D1-CB-M1</x:v>
      </x:c>
      <x:c r="B20" s="20" t="n">
        <x:v>1</x:v>
      </x:c>
      <x:c r="C20" s="20" t="str">
        <x:v>Craig-Bampton</x:v>
      </x:c>
      <x:c r="D20" s="20" t="n">
        <x:v>1</x:v>
      </x:c>
      <x:c r="E20" s="20" t="n">
        <x:v>4</x:v>
      </x:c>
      <x:c r="F20" s="20" t="n">
        <x:v>4</x:v>
      </x:c>
      <x:c r="G20" s="47" t="n">
        <x:v>0.24572318833138243</x:v>
      </x:c>
      <x:c r="H20" s="47" t="n">
        <x:v>0.3497759518542686</x:v>
      </x:c>
      <x:c r="I20" s="48" t="n">
        <x:f>G20*H20</x:f>
        <x:v>0.085948062091275</x:v>
      </x:c>
      <x:c r="J20" s="48" t="n">
        <x:f>G20^2</x:f>
        <x:v>0.06037988528374004</x:v>
      </x:c>
      <x:c r="K20" s="48" t="n">
        <x:f>H20^2</x:f>
        <x:v>0.12234321649555961</x:v>
      </x:c>
      <x:c r="L20" s="20"/>
      <x:c r="M20" s="20"/>
      <x:c r="N20" s="20"/>
      <x:c r="O20" s="20"/>
      <x:c r="P20" s="20"/>
      <x:c r="Q20" s="20"/>
      <x:c r="R20" s="20"/>
      <x:c r="S20" s="20"/>
      <x:c r="T20" s="20"/>
      <x:c r="U20" s="20"/>
      <x:c r="V20" s="20"/>
      <x:c r="W20" s="20"/>
      <x:c r="X20" s="20"/>
    </x:row>
    <x:row r="21">
      <x:c r="A21" s="20" t="str">
        <x:v>T3-2-D1-CB-M1</x:v>
      </x:c>
      <x:c r="B21" s="20" t="n">
        <x:v>1</x:v>
      </x:c>
      <x:c r="C21" s="20" t="str">
        <x:v>Craig-Bampton</x:v>
      </x:c>
      <x:c r="D21" s="20" t="n">
        <x:v>1</x:v>
      </x:c>
      <x:c r="E21" s="20" t="n">
        <x:v>5</x:v>
      </x:c>
      <x:c r="F21" s="20" t="n">
        <x:v>9</x:v>
      </x:c>
      <x:c r="G21" s="47" t="n">
        <x:v>0.24633127152220483</x:v>
      </x:c>
      <x:c r="H21" s="47" t="n">
        <x:v>0.3506364174484444</x:v>
      </x:c>
      <x:c r="I21" s="48" t="n">
        <x:f>G21*H21</x:f>
        <x:v>0.08637271455206592</x:v>
      </x:c>
      <x:c r="J21" s="48" t="n">
        <x:f>G21^2</x:f>
        <x:v>0.0606790953297462</x:v>
      </x:c>
      <x:c r="K21" s="48" t="n">
        <x:f>H21^2</x:f>
        <x:v>0.12294589724107978</x:v>
      </x:c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</x:row>
    <x:row r="22">
      <x:c r="A22" s="20" t="str">
        <x:v>T3-2-D1-CB-M1</x:v>
      </x:c>
      <x:c r="B22" s="20" t="n">
        <x:v>1</x:v>
      </x:c>
      <x:c r="C22" s="20" t="str">
        <x:v>Craig-Bampton</x:v>
      </x:c>
      <x:c r="D22" s="20" t="n">
        <x:v>1</x:v>
      </x:c>
      <x:c r="E22" s="20" t="n">
        <x:v>6</x:v>
      </x:c>
      <x:c r="F22" s="20" t="n">
        <x:v>14</x:v>
      </x:c>
      <x:c r="G22" s="47" t="n">
        <x:v>0.1516132666185856</x:v>
      </x:c>
      <x:c r="H22" s="47" t="n">
        <x:v>0.21581005437852738</x:v>
      </x:c>
      <x:c r="I22" s="48" t="n">
        <x:f>G22*H22</x:f>
        <x:v>0.032719667313463124</x:v>
      </x:c>
      <x:c r="J22" s="48" t="n">
        <x:f>G22^2</x:f>
        <x:v>0.022986582614758323</x:v>
      </x:c>
      <x:c r="K22" s="48" t="n">
        <x:f>H22^2</x:f>
        <x:v>0.04657397957086294</x:v>
      </x:c>
      <x:c r="L22" s="20"/>
      <x:c r="M22" s="20"/>
      <x:c r="N22" s="20"/>
      <x:c r="O22" s="20"/>
      <x:c r="P22" s="20"/>
      <x:c r="Q22" s="20"/>
      <x:c r="R22" s="20"/>
      <x:c r="S22" s="20"/>
      <x:c r="T22" s="20"/>
      <x:c r="U22" s="20"/>
      <x:c r="V22" s="20"/>
      <x:c r="W22" s="20"/>
      <x:c r="X22" s="20"/>
    </x:row>
    <x:row r="23">
      <x:c r="A23" s="20" t="str">
        <x:v>T3-2-D1-CB-M2</x:v>
      </x:c>
      <x:c r="B23" s="20" t="n">
        <x:v>1</x:v>
      </x:c>
      <x:c r="C23" s="20" t="str">
        <x:v>Craig-Bampton</x:v>
      </x:c>
      <x:c r="D23" s="20" t="n">
        <x:v>2</x:v>
      </x:c>
      <x:c r="E23" s="20" t="n">
        <x:v>1</x:v>
      </x:c>
      <x:c r="F23" s="20" t="n">
        <x:v>1</x:v>
      </x:c>
      <x:c r="G23" s="47" t="n">
        <x:v>-0.14084441588859983</x:v>
      </x:c>
      <x:c r="H23" s="47" t="n">
        <x:v>0.2258306055137463</x:v>
      </x:c>
      <x:c r="I23" s="48" t="n">
        <x:f>G23*H23</x:f>
        <x:v>-0.03180697972335241</x:v>
      </x:c>
      <x:c r="J23" s="48" t="n">
        <x:f>G23^2</x:f>
        <x:v>0.019837149487000872</x:v>
      </x:c>
      <x:c r="K23" s="48" t="n">
        <x:f>H23^2</x:f>
        <x:v>0.05099946238670531</x:v>
      </x:c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</x:row>
    <x:row r="24">
      <x:c r="A24" s="20" t="str">
        <x:v>T3-2-D1-CB-M2</x:v>
      </x:c>
      <x:c r="B24" s="20" t="n">
        <x:v>1</x:v>
      </x:c>
      <x:c r="C24" s="20" t="str">
        <x:v>Craig-Bampton</x:v>
      </x:c>
      <x:c r="D24" s="20" t="n">
        <x:v>2</x:v>
      </x:c>
      <x:c r="E24" s="20" t="n">
        <x:v>2</x:v>
      </x:c>
      <x:c r="F24" s="20" t="n">
        <x:v>6</x:v>
      </x:c>
      <x:c r="G24" s="47" t="n">
        <x:v>-0.1357681301199795</x:v>
      </x:c>
      <x:c r="H24" s="47" t="n">
        <x:v>0.21746234320863303</x:v>
      </x:c>
      <x:c r="I24" s="48" t="n">
        <x:f>G24*H24</x:f>
        <x:v>-0.02952445570894533</x:v>
      </x:c>
      <x:c r="J24" s="48" t="n">
        <x:f>G24^2</x:f>
        <x:v>0.01843298515627569</x:v>
      </x:c>
      <x:c r="K24" s="48" t="n">
        <x:f>H24^2</x:f>
        <x:v>0.0472898707137893</x:v>
      </x:c>
      <x:c r="L24" s="20"/>
      <x:c r="M24" s="20"/>
      <x:c r="N24" s="20"/>
      <x:c r="O24" s="20"/>
      <x:c r="P24" s="20"/>
      <x:c r="Q24" s="20"/>
      <x:c r="R24" s="20"/>
      <x:c r="S24" s="20"/>
      <x:c r="T24" s="20"/>
      <x:c r="U24" s="20"/>
      <x:c r="V24" s="20"/>
      <x:c r="W24" s="20"/>
      <x:c r="X24" s="20"/>
    </x:row>
    <x:row r="25">
      <x:c r="A25" s="20" t="str">
        <x:v>T3-2-D1-CB-M2</x:v>
      </x:c>
      <x:c r="B25" s="20" t="n">
        <x:v>1</x:v>
      </x:c>
      <x:c r="C25" s="20" t="str">
        <x:v>Craig-Bampton</x:v>
      </x:c>
      <x:c r="D25" s="20" t="n">
        <x:v>2</x:v>
      </x:c>
      <x:c r="E25" s="20" t="n">
        <x:v>3</x:v>
      </x:c>
      <x:c r="F25" s="20" t="n">
        <x:v>11</x:v>
      </x:c>
      <x:c r="G25" s="47" t="n">
        <x:v>0.12212311786165539</x:v>
      </x:c>
      <x:c r="H25" s="47" t="n">
        <x:v>-0.19593475149580558</x:v>
      </x:c>
      <x:c r="I25" s="48" t="n">
        <x:f>G25*H25</x:f>
        <x:v>-0.023928162750116423</x:v>
      </x:c>
      <x:c r="J25" s="48" t="n">
        <x:f>G25^2</x:f>
        <x:v>0.014914055916251773</x:v>
      </x:c>
      <x:c r="K25" s="48" t="n">
        <x:f>H25^2</x:f>
        <x:v>0.03839042684372309</x:v>
      </x:c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</x:row>
    <x:row r="26">
      <x:c r="A26" s="20" t="str">
        <x:v>T3-2-D1-CB-M2</x:v>
      </x:c>
      <x:c r="B26" s="20" t="n">
        <x:v>1</x:v>
      </x:c>
      <x:c r="C26" s="20" t="str">
        <x:v>Craig-Bampton</x:v>
      </x:c>
      <x:c r="D26" s="20" t="n">
        <x:v>2</x:v>
      </x:c>
      <x:c r="E26" s="20" t="n">
        <x:v>4</x:v>
      </x:c>
      <x:c r="F26" s="20" t="n">
        <x:v>4</x:v>
      </x:c>
      <x:c r="G26" s="47" t="n">
        <x:v>0.175675301142155</x:v>
      </x:c>
      <x:c r="H26" s="47" t="n">
        <x:v>-0.281892777930358</x:v>
      </x:c>
      <x:c r="I26" s="48" t="n">
        <x:f>G26*H26</x:f>
        <x:v>-0.049521598652714265</x:v>
      </x:c>
      <x:c r="J26" s="48" t="n">
        <x:f>G26^2</x:f>
        <x:v>0.030861811431386842</x:v>
      </x:c>
      <x:c r="K26" s="48" t="n">
        <x:f>H26^2</x:f>
        <x:v>0.07946353824929413</x:v>
      </x:c>
      <x:c r="L26" s="20"/>
      <x:c r="M26" s="20"/>
      <x:c r="N26" s="20"/>
      <x:c r="O26" s="20"/>
      <x:c r="P26" s="20"/>
      <x:c r="Q26" s="20"/>
      <x:c r="R26" s="20"/>
      <x:c r="S26" s="20"/>
      <x:c r="T26" s="20"/>
      <x:c r="U26" s="20"/>
      <x:c r="V26" s="20"/>
      <x:c r="W26" s="20"/>
      <x:c r="X26" s="20"/>
    </x:row>
    <x:row r="27">
      <x:c r="A27" s="20" t="str">
        <x:v>T3-2-D1-CB-M2</x:v>
      </x:c>
      <x:c r="B27" s="20" t="n">
        <x:v>1</x:v>
      </x:c>
      <x:c r="C27" s="20" t="str">
        <x:v>Craig-Bampton</x:v>
      </x:c>
      <x:c r="D27" s="20" t="n">
        <x:v>2</x:v>
      </x:c>
      <x:c r="E27" s="20" t="n">
        <x:v>5</x:v>
      </x:c>
      <x:c r="F27" s="20" t="n">
        <x:v>9</x:v>
      </x:c>
      <x:c r="G27" s="47" t="n">
        <x:v>-0.2202968662420292</x:v>
      </x:c>
      <x:c r="H27" s="47" t="n">
        <x:v>0.35368821410519913</x:v>
      </x:c>
      <x:c r="I27" s="48" t="n">
        <x:f>G27*H27</x:f>
        <x:v>-0.07791640519411525</x:v>
      </x:c>
      <x:c r="J27" s="48" t="n">
        <x:f>G27^2</x:f>
        <x:v>0.04853070927605851</x:v>
      </x:c>
      <x:c r="K27" s="48" t="n">
        <x:f>H27^2</x:f>
        <x:v>0.12509535279692519</x:v>
      </x:c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</x:row>
    <x:row r="28">
      <x:c r="A28" s="20" t="str">
        <x:v>T3-2-D1-CB-M2</x:v>
      </x:c>
      <x:c r="B28" s="20" t="n">
        <x:v>1</x:v>
      </x:c>
      <x:c r="C28" s="20" t="str">
        <x:v>Craig-Bampton</x:v>
      </x:c>
      <x:c r="D28" s="20" t="n">
        <x:v>2</x:v>
      </x:c>
      <x:c r="E28" s="20" t="n">
        <x:v>6</x:v>
      </x:c>
      <x:c r="F28" s="20" t="n">
        <x:v>14</x:v>
      </x:c>
      <x:c r="G28" s="47" t="n">
        <x:v>-0.3413356617606379</x:v>
      </x:c>
      <x:c r="H28" s="47" t="n">
        <x:v>0.5475858763263575</x:v>
      </x:c>
      <x:c r="I28" s="48" t="n">
        <x:f>G28*H28</x:f>
        <x:v>-0.18691058746663605</x:v>
      </x:c>
      <x:c r="J28" s="48" t="n">
        <x:f>G28^2</x:f>
        <x:v>0.1165100339895726</x:v>
      </x:c>
      <x:c r="K28" s="48" t="n">
        <x:f>H28^2</x:f>
        <x:v>0.29985029195210483</x:v>
      </x:c>
      <x:c r="L28" s="20"/>
      <x:c r="M28" s="20"/>
      <x:c r="N28" s="20"/>
      <x:c r="O28" s="20"/>
      <x:c r="P28" s="20"/>
      <x:c r="Q28" s="20"/>
      <x:c r="R28" s="20"/>
      <x:c r="S28" s="20"/>
      <x:c r="T28" s="20"/>
      <x:c r="U28" s="20"/>
      <x:c r="V28" s="20"/>
      <x:c r="W28" s="20"/>
      <x:c r="X28" s="20"/>
    </x:row>
    <x:row r="29">
      <x:c r="A29" s="20" t="str">
        <x:v>T3-2-D2-G-M1</x:v>
      </x:c>
      <x:c r="B29" s="20" t="n">
        <x:v>2</x:v>
      </x:c>
      <x:c r="C29" s="20" t="str">
        <x:v>Guyan</x:v>
      </x:c>
      <x:c r="D29" s="20" t="n">
        <x:v>1</x:v>
      </x:c>
      <x:c r="E29" s="20" t="n">
        <x:v>1</x:v>
      </x:c>
      <x:c r="F29" s="20" t="n">
        <x:v>1</x:v>
      </x:c>
      <x:c r="G29" s="47" t="n">
        <x:v>-0.12363651723091414</x:v>
      </x:c>
      <x:c r="H29" s="47" t="n">
        <x:v>0.17970160108660369</x:v>
      </x:c>
      <x:c r="I29" s="48" t="n">
        <x:f>G29*H29</x:f>
        <x:v>-0.022217680099166734</x:v>
      </x:c>
      <x:c r="J29" s="48" t="n">
        <x:f>G29^2</x:f>
        <x:v>0.015285988392990129</x:v>
      </x:c>
      <x:c r="K29" s="48" t="n">
        <x:f>H29^2</x:f>
        <x:v>0.03229266543308884</x:v>
      </x:c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/>
      <x:c r="W29" s="20"/>
      <x:c r="X29" s="20"/>
    </x:row>
    <x:row r="30">
      <x:c r="A30" s="20" t="str">
        <x:v>T3-2-D2-G-M1</x:v>
      </x:c>
      <x:c r="B30" s="20" t="n">
        <x:v>2</x:v>
      </x:c>
      <x:c r="C30" s="20" t="str">
        <x:v>Guyan</x:v>
      </x:c>
      <x:c r="D30" s="20" t="n">
        <x:v>1</x:v>
      </x:c>
      <x:c r="E30" s="20" t="n">
        <x:v>2</x:v>
      </x:c>
      <x:c r="F30" s="20" t="n">
        <x:v>11</x:v>
      </x:c>
      <x:c r="G30" s="47" t="n">
        <x:v>-0.47910634634315946</x:v>
      </x:c>
      <x:c r="H30" s="47" t="n">
        <x:v>0.7662434271963902</x:v>
      </x:c>
      <x:c r="I30" s="48" t="n">
        <x:f>G30*H30</x:f>
        <x:v>-0.3671120888135232</x:v>
      </x:c>
      <x:c r="J30" s="48" t="n">
        <x:f>G30^2</x:f>
        <x:v>0.22954289110629147</x:v>
      </x:c>
      <x:c r="K30" s="48" t="n">
        <x:f>H30^2</x:f>
        <x:v>0.5871289897216697</x:v>
      </x:c>
      <x:c r="L30" s="20"/>
      <x:c r="M30" s="20"/>
      <x:c r="N30" s="20"/>
      <x:c r="O30" s="20"/>
      <x:c r="P30" s="20"/>
      <x:c r="Q30" s="20"/>
      <x:c r="R30" s="20"/>
      <x:c r="S30" s="20"/>
      <x:c r="T30" s="20"/>
      <x:c r="U30" s="20"/>
      <x:c r="V30" s="20"/>
      <x:c r="W30" s="20"/>
      <x:c r="X30" s="20"/>
    </x:row>
    <x:row r="31">
      <x:c r="A31" s="20" t="str">
        <x:v>T3-2-D2-G-M1</x:v>
      </x:c>
      <x:c r="B31" s="20" t="n">
        <x:v>2</x:v>
      </x:c>
      <x:c r="C31" s="20" t="str">
        <x:v>Guyan</x:v>
      </x:c>
      <x:c r="D31" s="20" t="n">
        <x:v>1</x:v>
      </x:c>
      <x:c r="E31" s="20" t="n">
        <x:v>3</x:v>
      </x:c>
      <x:c r="F31" s="20" t="n">
        <x:v>4</x:v>
      </x:c>
      <x:c r="G31" s="47" t="n">
        <x:v>0.24572318833138243</x:v>
      </x:c>
      <x:c r="H31" s="47" t="n">
        <x:v>-0.3601346719771018</x:v>
      </x:c>
      <x:c r="I31" s="48" t="n">
        <x:f>G31*H31</x:f>
        <x:v>-0.08849343982689002</x:v>
      </x:c>
      <x:c r="J31" s="48" t="n">
        <x:f>G31^2</x:f>
        <x:v>0.06037988528374004</x:v>
      </x:c>
      <x:c r="K31" s="48" t="n">
        <x:f>H31^2</x:f>
        <x:v>0.12969698196005472</x:v>
      </x:c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</x:row>
    <x:row r="32">
      <x:c r="A32" s="20" t="str">
        <x:v>T3-2-D2-G-M1</x:v>
      </x:c>
      <x:c r="B32" s="20" t="n">
        <x:v>2</x:v>
      </x:c>
      <x:c r="C32" s="20" t="str">
        <x:v>Guyan</x:v>
      </x:c>
      <x:c r="D32" s="20" t="n">
        <x:v>1</x:v>
      </x:c>
      <x:c r="E32" s="20" t="n">
        <x:v>4</x:v>
      </x:c>
      <x:c r="F32" s="20" t="n">
        <x:v>9</x:v>
      </x:c>
      <x:c r="G32" s="47" t="n">
        <x:v>0.24633127152220483</x:v>
      </x:c>
      <x:c r="H32" s="47" t="n">
        <x:v>-0.4087546358852721</x:v>
      </x:c>
      <x:c r="I32" s="48" t="n">
        <x:f>G32*H32</x:f>
        <x:v>-0.10068904919821493</x:v>
      </x:c>
      <x:c r="J32" s="48" t="n">
        <x:f>G32^2</x:f>
        <x:v>0.0606790953297462</x:v>
      </x:c>
      <x:c r="K32" s="48" t="n">
        <x:f>H32^2</x:f>
        <x:v>0.16708035235770138</x:v>
      </x:c>
      <x:c r="L32" s="20"/>
      <x:c r="M32" s="20"/>
      <x:c r="N32" s="20"/>
      <x:c r="O32" s="20"/>
      <x:c r="P32" s="20"/>
      <x:c r="Q32" s="20"/>
      <x:c r="R32" s="20"/>
      <x:c r="S32" s="20"/>
      <x:c r="T32" s="20"/>
      <x:c r="U32" s="20"/>
      <x:c r="V32" s="20"/>
      <x:c r="W32" s="20"/>
      <x:c r="X32" s="20"/>
    </x:row>
    <x:row r="33">
      <x:c r="A33" s="20" t="str">
        <x:v>T3-2-D2-G-M1</x:v>
      </x:c>
      <x:c r="B33" s="20" t="n">
        <x:v>2</x:v>
      </x:c>
      <x:c r="C33" s="20" t="str">
        <x:v>Guyan</x:v>
      </x:c>
      <x:c r="D33" s="20" t="n">
        <x:v>1</x:v>
      </x:c>
      <x:c r="E33" s="20" t="n">
        <x:v>5</x:v>
      </x:c>
      <x:c r="F33" s="20" t="n">
        <x:v>14</x:v>
      </x:c>
      <x:c r="G33" s="47" t="n">
        <x:v>0.1516132666185856</x:v>
      </x:c>
      <x:c r="H33" s="47" t="n">
        <x:v>-0.2894840419219782</x:v>
      </x:c>
      <x:c r="I33" s="48" t="n">
        <x:f>G33*H33</x:f>
        <x:v>-0.04388962122974269</x:v>
      </x:c>
      <x:c r="J33" s="48" t="n">
        <x:f>G33^2</x:f>
        <x:v>0.022986582614758323</x:v>
      </x:c>
      <x:c r="K33" s="48" t="n">
        <x:f>H33^2</x:f>
        <x:v>0.08380101052748562</x:v>
      </x:c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  <x:c r="X33" s="20"/>
    </x:row>
    <x:row r="34">
      <x:c r="A34" s="20" t="str">
        <x:v>T3-2-D2-G-M2</x:v>
      </x:c>
      <x:c r="B34" s="20" t="n">
        <x:v>2</x:v>
      </x:c>
      <x:c r="C34" s="20" t="str">
        <x:v>Guyan</x:v>
      </x:c>
      <x:c r="D34" s="20" t="n">
        <x:v>2</x:v>
      </x:c>
      <x:c r="E34" s="20" t="n">
        <x:v>1</x:v>
      </x:c>
      <x:c r="F34" s="20" t="n">
        <x:v>1</x:v>
      </x:c>
      <x:c r="G34" s="47" t="n">
        <x:v>-0.14084441588859983</x:v>
      </x:c>
      <x:c r="H34" s="47" t="n">
        <x:v>0.4382450795704364</x:v>
      </x:c>
      <x:c r="I34" s="48" t="n">
        <x:f>G34*H34</x:f>
        <x:v>-0.06172437224815107</x:v>
      </x:c>
      <x:c r="J34" s="48" t="n">
        <x:f>G34^2</x:f>
        <x:v>0.019837149487000872</x:v>
      </x:c>
      <x:c r="K34" s="48" t="n">
        <x:f>H34^2</x:f>
        <x:v>0.19205874976769813</x:v>
      </x:c>
      <x:c r="L34" s="20"/>
      <x:c r="M34" s="20"/>
      <x:c r="N34" s="20"/>
      <x:c r="O34" s="20"/>
      <x:c r="P34" s="20"/>
      <x:c r="Q34" s="20"/>
      <x:c r="R34" s="20"/>
      <x:c r="S34" s="20"/>
      <x:c r="T34" s="20"/>
      <x:c r="U34" s="20"/>
      <x:c r="V34" s="20"/>
      <x:c r="W34" s="20"/>
      <x:c r="X34" s="20"/>
    </x:row>
    <x:row r="35">
      <x:c r="A35" s="20" t="str">
        <x:v>T3-2-D2-G-M2</x:v>
      </x:c>
      <x:c r="B35" s="20" t="n">
        <x:v>2</x:v>
      </x:c>
      <x:c r="C35" s="20" t="str">
        <x:v>Guyan</x:v>
      </x:c>
      <x:c r="D35" s="20" t="n">
        <x:v>2</x:v>
      </x:c>
      <x:c r="E35" s="20" t="n">
        <x:v>2</x:v>
      </x:c>
      <x:c r="F35" s="20" t="n">
        <x:v>11</x:v>
      </x:c>
      <x:c r="G35" s="47" t="n">
        <x:v>0.12212311786165539</x:v>
      </x:c>
      <x:c r="H35" s="47" t="n">
        <x:v>-0.09964043924157374</x:v>
      </x:c>
      <x:c r="I35" s="48" t="n">
        <x:f>G35*H35</x:f>
        <x:v>-0.012168401105285822</x:v>
      </x:c>
      <x:c r="J35" s="48" t="n">
        <x:f>G35^2</x:f>
        <x:v>0.014914055916251773</x:v>
      </x:c>
      <x:c r="K35" s="48" t="n">
        <x:f>H35^2</x:f>
        <x:v>0.00992821713225375</x:v>
      </x:c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/>
      <x:c r="X35" s="20"/>
    </x:row>
    <x:row r="36">
      <x:c r="A36" s="20" t="str">
        <x:v>T3-2-D2-G-M2</x:v>
      </x:c>
      <x:c r="B36" s="20" t="n">
        <x:v>2</x:v>
      </x:c>
      <x:c r="C36" s="20" t="str">
        <x:v>Guyan</x:v>
      </x:c>
      <x:c r="D36" s="20" t="n">
        <x:v>2</x:v>
      </x:c>
      <x:c r="E36" s="20" t="n">
        <x:v>3</x:v>
      </x:c>
      <x:c r="F36" s="20" t="n">
        <x:v>4</x:v>
      </x:c>
      <x:c r="G36" s="47" t="n">
        <x:v>0.175675301142155</x:v>
      </x:c>
      <x:c r="H36" s="47" t="n">
        <x:v>-0.44637699742574943</x:v>
      </x:c>
      <x:c r="I36" s="48" t="n">
        <x:f>G36*H36</x:f>
        <x:v>-0.07841741344569947</x:v>
      </x:c>
      <x:c r="J36" s="48" t="n">
        <x:f>G36^2</x:f>
        <x:v>0.030861811431386842</x:v>
      </x:c>
      <x:c r="K36" s="48" t="n">
        <x:f>H36^2</x:f>
        <x:v>0.19925242383082753</x:v>
      </x:c>
      <x:c r="L36" s="20"/>
      <x:c r="M36" s="20"/>
      <x:c r="N36" s="20"/>
      <x:c r="O36" s="20"/>
      <x:c r="P36" s="20"/>
      <x:c r="Q36" s="20"/>
      <x:c r="R36" s="20"/>
      <x:c r="S36" s="20"/>
      <x:c r="T36" s="20"/>
      <x:c r="U36" s="20"/>
      <x:c r="V36" s="20"/>
      <x:c r="W36" s="20"/>
      <x:c r="X36" s="20"/>
    </x:row>
    <x:row r="37">
      <x:c r="A37" s="20" t="str">
        <x:v>T3-2-D2-G-M2</x:v>
      </x:c>
      <x:c r="B37" s="20" t="n">
        <x:v>2</x:v>
      </x:c>
      <x:c r="C37" s="20" t="str">
        <x:v>Guyan</x:v>
      </x:c>
      <x:c r="D37" s="20" t="n">
        <x:v>2</x:v>
      </x:c>
      <x:c r="E37" s="20" t="n">
        <x:v>4</x:v>
      </x:c>
      <x:c r="F37" s="20" t="n">
        <x:v>9</x:v>
      </x:c>
      <x:c r="G37" s="47" t="n">
        <x:v>-0.2202968662420292</x:v>
      </x:c>
      <x:c r="H37" s="47" t="n">
        <x:v>0.5246870071819522</x:v>
      </x:c>
      <x:c r="I37" s="48" t="n">
        <x:f>G37*H37</x:f>
        <x:v>-0.11558690344009313</x:v>
      </x:c>
      <x:c r="J37" s="48" t="n">
        <x:f>G37^2</x:f>
        <x:v>0.04853070927605851</x:v>
      </x:c>
      <x:c r="K37" s="48" t="n">
        <x:f>H37^2</x:f>
        <x:v>0.2752964555055539</x:v>
      </x:c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</x:row>
    <x:row r="38">
      <x:c r="A38" s="20" t="str">
        <x:v>T3-2-D2-G-M2</x:v>
      </x:c>
      <x:c r="B38" s="20" t="n">
        <x:v>2</x:v>
      </x:c>
      <x:c r="C38" s="20" t="str">
        <x:v>Guyan</x:v>
      </x:c>
      <x:c r="D38" s="20" t="n">
        <x:v>2</x:v>
      </x:c>
      <x:c r="E38" s="20" t="n">
        <x:v>5</x:v>
      </x:c>
      <x:c r="F38" s="20" t="n">
        <x:v>14</x:v>
      </x:c>
      <x:c r="G38" s="47" t="n">
        <x:v>-0.3413356617606379</x:v>
      </x:c>
      <x:c r="H38" s="47" t="n">
        <x:v>0.5687390911161871</x:v>
      </x:c>
      <x:c r="I38" s="48" t="n">
        <x:f>G38*H38</x:f>
        <x:v>-0.19413093403528747</x:v>
      </x:c>
      <x:c r="J38" s="48" t="n">
        <x:f>G38^2</x:f>
        <x:v>0.1165100339895726</x:v>
      </x:c>
      <x:c r="K38" s="48" t="n">
        <x:f>H38^2</x:f>
        <x:v>0.3234641537636666</x:v>
      </x:c>
      <x:c r="L38" s="20"/>
      <x:c r="M38" s="20"/>
      <x:c r="N38" s="20"/>
      <x:c r="O38" s="20"/>
      <x:c r="P38" s="20"/>
      <x:c r="Q38" s="20"/>
      <x:c r="R38" s="20"/>
      <x:c r="S38" s="20"/>
      <x:c r="T38" s="20"/>
      <x:c r="U38" s="20"/>
      <x:c r="V38" s="20"/>
      <x:c r="W38" s="20"/>
      <x:c r="X38" s="20"/>
    </x:row>
    <x:row r="39">
      <x:c r="A39" s="20" t="str">
        <x:v>T3-2-D2-CB-M1</x:v>
      </x:c>
      <x:c r="B39" s="20" t="n">
        <x:v>2</x:v>
      </x:c>
      <x:c r="C39" s="20" t="str">
        <x:v>Craig-Bampton</x:v>
      </x:c>
      <x:c r="D39" s="20" t="n">
        <x:v>1</x:v>
      </x:c>
      <x:c r="E39" s="20" t="n">
        <x:v>1</x:v>
      </x:c>
      <x:c r="F39" s="20" t="n">
        <x:v>1</x:v>
      </x:c>
      <x:c r="G39" s="47" t="n">
        <x:v>-0.12363651723091414</x:v>
      </x:c>
      <x:c r="H39" s="47" t="n">
        <x:v>0.11422621183874779</x:v>
      </x:c>
      <x:c r="I39" s="48" t="n">
        <x:f>G39*H39</x:f>
        <x:v>-0.01412253100822339</x:v>
      </x:c>
      <x:c r="J39" s="48" t="n">
        <x:f>G39^2</x:f>
        <x:v>0.015285988392990129</x:v>
      </x:c>
      <x:c r="K39" s="48" t="n">
        <x:f>H39^2</x:f>
        <x:v>0.013047627471030485</x:v>
      </x:c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</x:row>
    <x:row r="40">
      <x:c r="A40" s="20" t="str">
        <x:v>T3-2-D2-CB-M1</x:v>
      </x:c>
      <x:c r="B40" s="20" t="n">
        <x:v>2</x:v>
      </x:c>
      <x:c r="C40" s="20" t="str">
        <x:v>Craig-Bampton</x:v>
      </x:c>
      <x:c r="D40" s="20" t="n">
        <x:v>1</x:v>
      </x:c>
      <x:c r="E40" s="20" t="n">
        <x:v>2</x:v>
      </x:c>
      <x:c r="F40" s="20" t="n">
        <x:v>11</x:v>
      </x:c>
      <x:c r="G40" s="47" t="n">
        <x:v>-0.47910634634315946</x:v>
      </x:c>
      <x:c r="H40" s="47" t="n">
        <x:v>0.44264165368501707</x:v>
      </x:c>
      <x:c r="I40" s="48" t="n">
        <x:f>G40*H40</x:f>
        <x:v>-0.21207242543632263</x:v>
      </x:c>
      <x:c r="J40" s="48" t="n">
        <x:f>G40^2</x:f>
        <x:v>0.22954289110629147</x:v>
      </x:c>
      <x:c r="K40" s="48" t="n">
        <x:f>H40^2</x:f>
        <x:v>0.19593163357700658</x:v>
      </x:c>
      <x:c r="L40" s="20"/>
      <x:c r="M40" s="20"/>
      <x:c r="N40" s="20"/>
      <x:c r="O40" s="20"/>
      <x:c r="P40" s="20"/>
      <x:c r="Q40" s="20"/>
      <x:c r="R40" s="20"/>
      <x:c r="S40" s="20"/>
      <x:c r="T40" s="20"/>
      <x:c r="U40" s="20"/>
      <x:c r="V40" s="20"/>
      <x:c r="W40" s="20"/>
      <x:c r="X40" s="20"/>
    </x:row>
    <x:row r="41">
      <x:c r="A41" s="20" t="str">
        <x:v>T3-2-D2-CB-M1</x:v>
      </x:c>
      <x:c r="B41" s="20" t="n">
        <x:v>2</x:v>
      </x:c>
      <x:c r="C41" s="20" t="str">
        <x:v>Craig-Bampton</x:v>
      </x:c>
      <x:c r="D41" s="20" t="n">
        <x:v>1</x:v>
      </x:c>
      <x:c r="E41" s="20" t="n">
        <x:v>3</x:v>
      </x:c>
      <x:c r="F41" s="20" t="n">
        <x:v>4</x:v>
      </x:c>
      <x:c r="G41" s="47" t="n">
        <x:v>0.24572318833138243</x:v>
      </x:c>
      <x:c r="H41" s="47" t="n">
        <x:v>-0.22702325213785926</x:v>
      </x:c>
      <x:c r="I41" s="48" t="n">
        <x:f>G41*H41</x:f>
        <x:v>-0.05578487734067411</x:v>
      </x:c>
      <x:c r="J41" s="48" t="n">
        <x:f>G41^2</x:f>
        <x:v>0.06037988528374004</x:v>
      </x:c>
      <x:c r="K41" s="48" t="n">
        <x:f>H41^2</x:f>
        <x:v>0.05153955701125002</x:v>
      </x:c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</x:row>
    <x:row r="42">
      <x:c r="A42" s="20" t="str">
        <x:v>T3-2-D2-CB-M1</x:v>
      </x:c>
      <x:c r="B42" s="20" t="n">
        <x:v>2</x:v>
      </x:c>
      <x:c r="C42" s="20" t="str">
        <x:v>Craig-Bampton</x:v>
      </x:c>
      <x:c r="D42" s="20" t="n">
        <x:v>1</x:v>
      </x:c>
      <x:c r="E42" s="20" t="n">
        <x:v>4</x:v>
      </x:c>
      <x:c r="F42" s="20" t="n">
        <x:v>9</x:v>
      </x:c>
      <x:c r="G42" s="47" t="n">
        <x:v>0.24633127152220483</x:v>
      </x:c>
      <x:c r="H42" s="47" t="n">
        <x:v>-0.2275811032427627</x:v>
      </x:c>
      <x:c r="I42" s="48" t="n">
        <x:f>G42*H42</x:f>
        <x:v>-0.05606034253621591</x:v>
      </x:c>
      <x:c r="J42" s="48" t="n">
        <x:f>G42^2</x:f>
        <x:v>0.0606790953297462</x:v>
      </x:c>
      <x:c r="K42" s="48" t="n">
        <x:f>H42^2</x:f>
        <x:v>0.05179315855319302</x:v>
      </x:c>
      <x:c r="L42" s="20"/>
      <x:c r="M42" s="20"/>
      <x:c r="N42" s="20"/>
      <x:c r="O42" s="20"/>
      <x:c r="P42" s="20"/>
      <x:c r="Q42" s="20"/>
      <x:c r="R42" s="20"/>
      <x:c r="S42" s="20"/>
      <x:c r="T42" s="20"/>
      <x:c r="U42" s="20"/>
      <x:c r="V42" s="20"/>
      <x:c r="W42" s="20"/>
      <x:c r="X42" s="20"/>
    </x:row>
    <x:row r="43">
      <x:c r="A43" s="20" t="str">
        <x:v>T3-2-D2-CB-M1</x:v>
      </x:c>
      <x:c r="B43" s="20" t="n">
        <x:v>2</x:v>
      </x:c>
      <x:c r="C43" s="20" t="str">
        <x:v>Craig-Bampton</x:v>
      </x:c>
      <x:c r="D43" s="20" t="n">
        <x:v>1</x:v>
      </x:c>
      <x:c r="E43" s="20" t="n">
        <x:v>5</x:v>
      </x:c>
      <x:c r="F43" s="20" t="n">
        <x:v>14</x:v>
      </x:c>
      <x:c r="G43" s="47" t="n">
        <x:v>0.1516132666185856</x:v>
      </x:c>
      <x:c r="H43" s="47" t="n">
        <x:v>-0.1400814888663955</x:v>
      </x:c>
      <x:c r="I43" s="48" t="n">
        <x:f>G43*H43</x:f>
        <x:v>-0.02123821211982925</x:v>
      </x:c>
      <x:c r="J43" s="48" t="n">
        <x:f>G43^2</x:f>
        <x:v>0.022986582614758323</x:v>
      </x:c>
      <x:c r="K43" s="48" t="n">
        <x:f>H43^2</x:f>
        <x:v>0.019622823523026082</x:v>
      </x:c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/>
    </x:row>
    <x:row r="44">
      <x:c r="A44" s="20" t="str">
        <x:v>T3-2-D2-CB-M2</x:v>
      </x:c>
      <x:c r="B44" s="20" t="n">
        <x:v>2</x:v>
      </x:c>
      <x:c r="C44" s="20" t="str">
        <x:v>Craig-Bampton</x:v>
      </x:c>
      <x:c r="D44" s="20" t="n">
        <x:v>2</x:v>
      </x:c>
      <x:c r="E44" s="20" t="n">
        <x:v>1</x:v>
      </x:c>
      <x:c r="F44" s="20" t="n">
        <x:v>1</x:v>
      </x:c>
      <x:c r="G44" s="47" t="n">
        <x:v>-0.14084441588859983</x:v>
      </x:c>
      <x:c r="H44" s="47" t="n">
        <x:v>0.02580155429711117</x:v>
      </x:c>
      <x:c r="I44" s="48" t="n">
        <x:f>G44*H44</x:f>
        <x:v>-0.0036340048439946157</x:v>
      </x:c>
      <x:c r="J44" s="48" t="n">
        <x:f>G44^2</x:f>
        <x:v>0.019837149487000872</x:v>
      </x:c>
      <x:c r="K44" s="48" t="n">
        <x:f>H44^2</x:f>
        <x:v>0.0006657202041467758</x:v>
      </x:c>
      <x:c r="L44" s="20"/>
      <x:c r="M44" s="20"/>
      <x:c r="N44" s="20"/>
      <x:c r="O44" s="20"/>
      <x:c r="P44" s="20"/>
      <x:c r="Q44" s="20"/>
      <x:c r="R44" s="20"/>
      <x:c r="S44" s="20"/>
      <x:c r="T44" s="20"/>
      <x:c r="U44" s="20"/>
      <x:c r="V44" s="20"/>
      <x:c r="W44" s="20"/>
      <x:c r="X44" s="20"/>
    </x:row>
    <x:row r="45">
      <x:c r="A45" s="20" t="str">
        <x:v>T3-2-D2-CB-M2</x:v>
      </x:c>
      <x:c r="B45" s="20" t="n">
        <x:v>2</x:v>
      </x:c>
      <x:c r="C45" s="20" t="str">
        <x:v>Craig-Bampton</x:v>
      </x:c>
      <x:c r="D45" s="20" t="n">
        <x:v>2</x:v>
      </x:c>
      <x:c r="E45" s="20" t="n">
        <x:v>2</x:v>
      </x:c>
      <x:c r="F45" s="20" t="n">
        <x:v>11</x:v>
      </x:c>
      <x:c r="G45" s="47" t="n">
        <x:v>0.12212311786165539</x:v>
      </x:c>
      <x:c r="H45" s="47" t="n">
        <x:v>-0.02241971819626994</x:v>
      </x:c>
      <x:c r="I45" s="48" t="n">
        <x:f>G45*H45</x:f>
        <x:v>-0.0027379658877081737</x:v>
      </x:c>
      <x:c r="J45" s="48" t="n">
        <x:f>G45^2</x:f>
        <x:v>0.014914055916251773</x:v>
      </x:c>
      <x:c r="K45" s="48" t="n">
        <x:f>H45^2</x:f>
        <x:v>0.0005026437640001574</x:v>
      </x:c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</x:row>
    <x:row r="46">
      <x:c r="A46" s="20" t="str">
        <x:v>T3-2-D2-CB-M2</x:v>
      </x:c>
      <x:c r="B46" s="20" t="n">
        <x:v>2</x:v>
      </x:c>
      <x:c r="C46" s="20" t="str">
        <x:v>Craig-Bampton</x:v>
      </x:c>
      <x:c r="D46" s="20" t="n">
        <x:v>2</x:v>
      </x:c>
      <x:c r="E46" s="20" t="n">
        <x:v>3</x:v>
      </x:c>
      <x:c r="F46" s="20" t="n">
        <x:v>4</x:v>
      </x:c>
      <x:c r="G46" s="47" t="n">
        <x:v>0.175675301142155</x:v>
      </x:c>
      <x:c r="H46" s="47" t="n">
        <x:v>-0.032228845457783685</x:v>
      </x:c>
      <x:c r="I46" s="48" t="n">
        <x:f>G46*H46</x:f>
        <x:v>-0.005661812131260123</x:v>
      </x:c>
      <x:c r="J46" s="48" t="n">
        <x:f>G46^2</x:f>
        <x:v>0.030861811431386842</x:v>
      </x:c>
      <x:c r="K46" s="48" t="n">
        <x:f>H46^2</x:f>
        <x:v>0.001038698479541704</x:v>
      </x:c>
      <x:c r="L46" s="20"/>
      <x:c r="M46" s="20"/>
      <x:c r="N46" s="20"/>
      <x:c r="O46" s="20"/>
      <x:c r="P46" s="20"/>
      <x:c r="Q46" s="20"/>
      <x:c r="R46" s="20"/>
      <x:c r="S46" s="20"/>
      <x:c r="T46" s="20"/>
      <x:c r="U46" s="20"/>
      <x:c r="V46" s="20"/>
      <x:c r="W46" s="20"/>
      <x:c r="X46" s="20"/>
    </x:row>
    <x:row r="47">
      <x:c r="A47" s="20" t="str">
        <x:v>T3-2-D2-CB-M2</x:v>
      </x:c>
      <x:c r="B47" s="20" t="n">
        <x:v>2</x:v>
      </x:c>
      <x:c r="C47" s="20" t="str">
        <x:v>Craig-Bampton</x:v>
      </x:c>
      <x:c r="D47" s="20" t="n">
        <x:v>2</x:v>
      </x:c>
      <x:c r="E47" s="20" t="n">
        <x:v>4</x:v>
      </x:c>
      <x:c r="F47" s="20" t="n">
        <x:v>9</x:v>
      </x:c>
      <x:c r="G47" s="47" t="n">
        <x:v>-0.2202968662420292</x:v>
      </x:c>
      <x:c r="H47" s="47" t="n">
        <x:v>0.040423399541853956</x:v>
      </x:c>
      <x:c r="I47" s="48" t="n">
        <x:f>G47*H47</x:f>
        <x:v>-0.008905148241919906</x:v>
      </x:c>
      <x:c r="J47" s="48" t="n">
        <x:f>G47^2</x:f>
        <x:v>0.04853070927605851</x:v>
      </x:c>
      <x:c r="K47" s="48" t="n">
        <x:f>H47^2</x:f>
        <x:v>0.0016340512305203587</x:v>
      </x:c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/>
    </x:row>
    <x:row r="48">
      <x:c r="A48" s="20" t="str">
        <x:v>T3-2-D2-CB-M2</x:v>
      </x:c>
      <x:c r="B48" s="20" t="n">
        <x:v>2</x:v>
      </x:c>
      <x:c r="C48" s="20" t="str">
        <x:v>Craig-Bampton</x:v>
      </x:c>
      <x:c r="D48" s="20" t="n">
        <x:v>2</x:v>
      </x:c>
      <x:c r="E48" s="20" t="n">
        <x:v>5</x:v>
      </x:c>
      <x:c r="F48" s="20" t="n">
        <x:v>14</x:v>
      </x:c>
      <x:c r="G48" s="47" t="n">
        <x:v>-0.3413356617606379</x:v>
      </x:c>
      <x:c r="H48" s="47" t="n">
        <x:v>0.06261688755405789</x:v>
      </x:c>
      <x:c r="I48" s="48" t="n">
        <x:f>G48*H48</x:f>
        <x:v>-0.0213733767506558</x:v>
      </x:c>
      <x:c r="J48" s="48" t="n">
        <x:f>G48^2</x:f>
        <x:v>0.1165100339895726</x:v>
      </x:c>
      <x:c r="K48" s="48" t="n">
        <x:f>H48^2</x:f>
        <x:v>0.003920874606957531</x:v>
      </x:c>
      <x:c r="L48" s="20"/>
      <x:c r="M48" s="20"/>
      <x:c r="N48" s="20"/>
      <x:c r="O48" s="20"/>
      <x:c r="P48" s="20"/>
      <x:c r="Q48" s="20"/>
      <x:c r="R48" s="20"/>
      <x:c r="S48" s="20"/>
      <x:c r="T48" s="20"/>
      <x:c r="U48" s="20"/>
      <x:c r="V48" s="20"/>
      <x:c r="W48" s="20"/>
      <x:c r="X48" s="20"/>
    </x:row>
  </x:sheetData>
  <x:mergeCells>
    <x:mergeCell ref="A1:X1"/>
    <x:mergeCell ref="A2:X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" hidden="0" customWidth="1"/>
    <x:col min="3" max="3" width="18" hidden="0" customWidth="1"/>
    <x:col min="4" max="4" width="28" hidden="0" customWidth="1"/>
    <x:col min="5" max="5" width="8" hidden="0" customWidth="1"/>
    <x:col min="6" max="6" width="8" hidden="0" customWidth="1"/>
    <x:col min="7" max="7" width="14" hidden="0" customWidth="1"/>
    <x:col min="8" max="8" width="17" hidden="0" customWidth="1"/>
    <x:col min="9" max="9" width="13" hidden="0" customWidth="1"/>
    <x:col min="10" max="10" width="9" hidden="0" customWidth="1"/>
    <x:col min="11" max="11" width="14" hidden="0" customWidth="1"/>
    <x:col min="12" max="12" width="15" hidden="0" customWidth="1"/>
    <x:col min="13" max="13" width="12" hidden="0" customWidth="1"/>
    <x:col min="14" max="14" width="17" hidden="0" customWidth="1"/>
    <x:col min="15" max="15" width="16" hidden="0" customWidth="1"/>
    <x:col min="16" max="16" width="36" hidden="0" customWidth="1"/>
    <x:col min="17" max="17" width="40" hidden="0" customWidth="1"/>
    <x:col min="18" max="18" width="9" hidden="0" customWidth="1"/>
  </x:cols>
  <x:sheetData>
    <x:row r="1" ht="30" customHeight="1">
      <x:c r="A1" s="3" t="str">
        <x:v>表3-2逐单元格公式计算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6" customHeight="1">
      <x:c r="A2" s="7" t="str">
        <x:v>H列由MAC向量输入表的点积与平方和计算；统一口径为正确顺序保留坐标的普通欧氏MAC。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4" ht="34" customHeight="1">
      <x:c r="A4" s="17" t="str">
        <x:v>单元格ID</x:v>
      </x:c>
      <x:c r="B4" s="17" t="str">
        <x:v>划分</x:v>
      </x:c>
      <x:c r="C4" s="17" t="str">
        <x:v>方法</x:v>
      </x:c>
      <x:c r="D4" s="17" t="str">
        <x:v>路线</x:v>
      </x:c>
      <x:c r="E4" s="17" t="str">
        <x:v>阶次</x:v>
      </x:c>
      <x:c r="F4" s="17" t="str">
        <x:v>维数</x:v>
      </x:c>
      <x:c r="G4" s="17" t="str">
        <x:v>向量Excel行</x:v>
      </x:c>
      <x:c r="H4" s="17" t="str">
        <x:v>工作簿MAC</x:v>
      </x:c>
      <x:c r="I4" s="17" t="str">
        <x:v>论文值</x:v>
      </x:c>
      <x:c r="J4" s="17" t="str">
        <x:v>小数位</x:v>
      </x:c>
      <x:c r="K4" s="17" t="str">
        <x:v>工作簿舍入</x:v>
      </x:c>
      <x:c r="L4" s="17" t="str">
        <x:v>绝对差</x:v>
      </x:c>
      <x:c r="M4" s="17" t="str">
        <x:v>末位匹配</x:v>
      </x:c>
      <x:c r="N4" s="17" t="str">
        <x:v>Python独立值</x:v>
      </x:c>
      <x:c r="O4" s="17" t="str">
        <x:v>公式-Python差</x:v>
      </x:c>
      <x:c r="P4" s="17" t="str">
        <x:v>证据等级</x:v>
      </x:c>
      <x:c r="Q4" s="17" t="str">
        <x:v>输入源</x:v>
      </x:c>
      <x:c r="R4" s="17" t="str">
        <x:v>记录数</x:v>
      </x:c>
    </x:row>
    <x:row r="5">
      <x:c r="A5" s="28" t="str">
        <x:f>'MAC向量输入'!L5</x:f>
        <x:v>T3-2-D1-G-M1</x:v>
      </x:c>
      <x:c r="B5" s="28" t="n">
        <x:f>'MAC向量输入'!M5</x:f>
        <x:v>1</x:v>
      </x:c>
      <x:c r="C5" s="28" t="str">
        <x:f>'MAC向量输入'!N5</x:f>
        <x:v>Guyan</x:v>
      </x:c>
      <x:c r="D5" s="28" t="str">
        <x:f>'MAC向量输入'!O5</x:f>
        <x:v>boundary_correct_master</x:v>
      </x:c>
      <x:c r="E5" s="28" t="n">
        <x:f>'MAC向量输入'!P5</x:f>
        <x:v>1</x:v>
      </x:c>
      <x:c r="F5" s="28" t="n">
        <x:f>'MAC向量输入'!Q5</x:f>
        <x:v>6</x:v>
      </x:c>
      <x:c r="G5" s="20" t="str">
        <x:v>5:10</x:v>
      </x:c>
      <x:c r="H5" s="40" t="n">
        <x:f>SUM('MAC向量输入'!I5:I10)^2/(SUM('MAC向量输入'!J5:J10)*SUM('MAC向量输入'!K5:K10))</x:f>
        <x:v>0.9999966585085782</x:v>
      </x:c>
      <x:c r="I5" s="29" t="n">
        <x:f>'MAC向量输入'!T5</x:f>
        <x:v>1</x:v>
      </x:c>
      <x:c r="J5" s="43" t="n">
        <x:f>'MAC向量输入'!U5</x:f>
        <x:v>4</x:v>
      </x:c>
      <x:c r="K5" s="40" t="n">
        <x:f>ROUND(H5,J5)</x:f>
        <x:v>1</x:v>
      </x:c>
      <x:c r="L5" s="40" t="n">
        <x:f>ABS(H5-I5)</x:f>
        <x:v>0.0000033414914217821945</x:v>
      </x:c>
      <x:c r="M5" s="44" t="n">
        <x:f>IF(ABS(K5-I5)&lt;='论文合同'!$B$5,1,0)</x:f>
        <x:v>1</x:v>
      </x:c>
      <x:c r="N5" s="40" t="n">
        <x:f>'MAC向量输入'!V5</x:f>
        <x:v>0.9999966585085782</x:v>
      </x:c>
      <x:c r="O5" s="40" t="n">
        <x:f>ABS(H5-N5)</x:f>
        <x:v>0</x:v>
      </x:c>
      <x:c r="P5" s="20" t="str">
        <x:v>计算级复现（正确保留坐标历史口径）</x:v>
      </x:c>
      <x:c r="Q5" s="20" t="str">
        <x:v>input/board17/outputs/global_routes_matlab.mat</x:v>
      </x:c>
      <x:c r="R5" s="46" t="n">
        <x:v>1</x:v>
      </x:c>
    </x:row>
    <x:row r="6">
      <x:c r="A6" s="28" t="str">
        <x:f>'MAC向量输入'!L6</x:f>
        <x:v>T3-2-D1-G-M2</x:v>
      </x:c>
      <x:c r="B6" s="28" t="n">
        <x:f>'MAC向量输入'!M6</x:f>
        <x:v>1</x:v>
      </x:c>
      <x:c r="C6" s="28" t="str">
        <x:f>'MAC向量输入'!N6</x:f>
        <x:v>Guyan</x:v>
      </x:c>
      <x:c r="D6" s="28" t="str">
        <x:f>'MAC向量输入'!O6</x:f>
        <x:v>boundary_correct_master</x:v>
      </x:c>
      <x:c r="E6" s="28" t="n">
        <x:f>'MAC向量输入'!P6</x:f>
        <x:v>2</x:v>
      </x:c>
      <x:c r="F6" s="28" t="n">
        <x:f>'MAC向量输入'!Q6</x:f>
        <x:v>6</x:v>
      </x:c>
      <x:c r="G6" s="20" t="str">
        <x:v>11:16</x:v>
      </x:c>
      <x:c r="H6" s="40" t="n">
        <x:f>SUM('MAC向量输入'!I11:I16)^2/(SUM('MAC向量输入'!J11:J16)*SUM('MAC向量输入'!K11:K16))</x:f>
        <x:v>0.9997727680699968</x:v>
      </x:c>
      <x:c r="I6" s="29" t="n">
        <x:f>'MAC向量输入'!T6</x:f>
        <x:v>0.9998</x:v>
      </x:c>
      <x:c r="J6" s="43" t="n">
        <x:f>'MAC向量输入'!U6</x:f>
        <x:v>4</x:v>
      </x:c>
      <x:c r="K6" s="40" t="n">
        <x:f>ROUND(H6,J6)</x:f>
        <x:v>0.9998</x:v>
      </x:c>
      <x:c r="L6" s="40" t="n">
        <x:f>ABS(H6-I6)</x:f>
        <x:v>0.00002723193000320201</x:v>
      </x:c>
      <x:c r="M6" s="44" t="n">
        <x:f>IF(ABS(K6-I6)&lt;='论文合同'!$B$5,1,0)</x:f>
        <x:v>1</x:v>
      </x:c>
      <x:c r="N6" s="40" t="n">
        <x:f>'MAC向量输入'!V6</x:f>
        <x:v>0.9997727680699968</x:v>
      </x:c>
      <x:c r="O6" s="40" t="n">
        <x:f>ABS(H6-N6)</x:f>
        <x:v>0</x:v>
      </x:c>
      <x:c r="P6" s="20" t="str">
        <x:v>计算级复现（正确保留坐标历史口径）</x:v>
      </x:c>
      <x:c r="Q6" s="20" t="str">
        <x:v>input/board17/outputs/global_routes_matlab.mat</x:v>
      </x:c>
      <x:c r="R6" s="46" t="n">
        <x:v>1</x:v>
      </x:c>
    </x:row>
    <x:row r="7">
      <x:c r="A7" s="28" t="str">
        <x:f>'MAC向量输入'!L7</x:f>
        <x:v>T3-2-D1-CB-M1</x:v>
      </x:c>
      <x:c r="B7" s="28" t="n">
        <x:f>'MAC向量输入'!M7</x:f>
        <x:v>1</x:v>
      </x:c>
      <x:c r="C7" s="28" t="str">
        <x:f>'MAC向量输入'!N7</x:f>
        <x:v>Craig-Bampton</x:v>
      </x:c>
      <x:c r="D7" s="28" t="str">
        <x:f>'MAC向量输入'!O7</x:f>
        <x:v>boundary_correct_master</x:v>
      </x:c>
      <x:c r="E7" s="28" t="n">
        <x:f>'MAC向量输入'!P7</x:f>
        <x:v>1</x:v>
      </x:c>
      <x:c r="F7" s="28" t="n">
        <x:f>'MAC向量输入'!Q7</x:f>
        <x:v>6</x:v>
      </x:c>
      <x:c r="G7" s="20" t="str">
        <x:v>17:22</x:v>
      </x:c>
      <x:c r="H7" s="40" t="n">
        <x:f>SUM('MAC向量输入'!I17:I22)^2/(SUM('MAC向量输入'!J17:J22)*SUM('MAC向量输入'!K17:K22))</x:f>
        <x:v>0.9999999999676727</x:v>
      </x:c>
      <x:c r="I7" s="29" t="n">
        <x:f>'MAC向量输入'!T7</x:f>
        <x:v>1</x:v>
      </x:c>
      <x:c r="J7" s="43" t="n">
        <x:f>'MAC向量输入'!U7</x:f>
        <x:v>4</x:v>
      </x:c>
      <x:c r="K7" s="40" t="n">
        <x:f>ROUND(H7,J7)</x:f>
        <x:v>1</x:v>
      </x:c>
      <x:c r="L7" s="40" t="n">
        <x:f>ABS(H7-I7)</x:f>
        <x:v>3.232725198643038e-11</x:v>
      </x:c>
      <x:c r="M7" s="44" t="n">
        <x:f>IF(ABS(K7-I7)&lt;='论文合同'!$B$5,1,0)</x:f>
        <x:v>1</x:v>
      </x:c>
      <x:c r="N7" s="40" t="n">
        <x:f>'MAC向量输入'!V7</x:f>
        <x:v>0.9999999999676727</x:v>
      </x:c>
      <x:c r="O7" s="40" t="n">
        <x:f>ABS(H7-N7)</x:f>
        <x:v>0</x:v>
      </x:c>
      <x:c r="P7" s="20" t="str">
        <x:v>计算级复现（正确保留坐标历史口径）</x:v>
      </x:c>
      <x:c r="Q7" s="20" t="str">
        <x:v>input/board17/outputs/global_routes_matlab.mat</x:v>
      </x:c>
      <x:c r="R7" s="46" t="n">
        <x:v>1</x:v>
      </x:c>
    </x:row>
    <x:row r="8">
      <x:c r="A8" s="28" t="str">
        <x:f>'MAC向量输入'!L8</x:f>
        <x:v>T3-2-D1-CB-M2</x:v>
      </x:c>
      <x:c r="B8" s="28" t="n">
        <x:f>'MAC向量输入'!M8</x:f>
        <x:v>1</x:v>
      </x:c>
      <x:c r="C8" s="28" t="str">
        <x:f>'MAC向量输入'!N8</x:f>
        <x:v>Craig-Bampton</x:v>
      </x:c>
      <x:c r="D8" s="28" t="str">
        <x:f>'MAC向量输入'!O8</x:f>
        <x:v>boundary_correct_master</x:v>
      </x:c>
      <x:c r="E8" s="28" t="n">
        <x:f>'MAC向量输入'!P8</x:f>
        <x:v>2</x:v>
      </x:c>
      <x:c r="F8" s="28" t="n">
        <x:f>'MAC向量输入'!Q8</x:f>
        <x:v>6</x:v>
      </x:c>
      <x:c r="G8" s="20" t="str">
        <x:v>23:28</x:v>
      </x:c>
      <x:c r="H8" s="40" t="n">
        <x:f>SUM('MAC向量输入'!I23:I28)^2/(SUM('MAC向量输入'!J23:J28)*SUM('MAC向量输入'!K23:K28))</x:f>
        <x:v>0.9999996674405369</x:v>
      </x:c>
      <x:c r="I8" s="29" t="n">
        <x:f>'MAC向量输入'!T8</x:f>
        <x:v>1</x:v>
      </x:c>
      <x:c r="J8" s="43" t="n">
        <x:f>'MAC向量输入'!U8</x:f>
        <x:v>4</x:v>
      </x:c>
      <x:c r="K8" s="40" t="n">
        <x:f>ROUND(H8,J8)</x:f>
        <x:v>1</x:v>
      </x:c>
      <x:c r="L8" s="40" t="n">
        <x:f>ABS(H8-I8)</x:f>
        <x:v>3.3255946307875206e-7</x:v>
      </x:c>
      <x:c r="M8" s="44" t="n">
        <x:f>IF(ABS(K8-I8)&lt;='论文合同'!$B$5,1,0)</x:f>
        <x:v>1</x:v>
      </x:c>
      <x:c r="N8" s="40" t="n">
        <x:f>'MAC向量输入'!V8</x:f>
        <x:v>0.9999996674405369</x:v>
      </x:c>
      <x:c r="O8" s="40" t="n">
        <x:f>ABS(H8-N8)</x:f>
        <x:v>0</x:v>
      </x:c>
      <x:c r="P8" s="20" t="str">
        <x:v>计算级复现（正确保留坐标历史口径）</x:v>
      </x:c>
      <x:c r="Q8" s="20" t="str">
        <x:v>input/board17/outputs/global_routes_matlab.mat</x:v>
      </x:c>
      <x:c r="R8" s="46" t="n">
        <x:v>1</x:v>
      </x:c>
    </x:row>
    <x:row r="9">
      <x:c r="A9" s="28" t="str">
        <x:f>'MAC向量输入'!L9</x:f>
        <x:v>T3-2-D2-G-M1</x:v>
      </x:c>
      <x:c r="B9" s="28" t="n">
        <x:f>'MAC向量输入'!M9</x:f>
        <x:v>2</x:v>
      </x:c>
      <x:c r="C9" s="28" t="str">
        <x:f>'MAC向量输入'!N9</x:f>
        <x:v>Guyan</x:v>
      </x:c>
      <x:c r="D9" s="28" t="str">
        <x:f>'MAC向量输入'!O9</x:f>
        <x:v>boundary_correct_master</x:v>
      </x:c>
      <x:c r="E9" s="28" t="n">
        <x:f>'MAC向量输入'!P9</x:f>
        <x:v>1</x:v>
      </x:c>
      <x:c r="F9" s="28" t="n">
        <x:f>'MAC向量输入'!Q9</x:f>
        <x:v>5</x:v>
      </x:c>
      <x:c r="G9" s="20" t="str">
        <x:v>29:33</x:v>
      </x:c>
      <x:c r="H9" s="40" t="n">
        <x:f>SUM('MAC向量输入'!I29:I33)^2/(SUM('MAC向量输入'!J29:J33)*SUM('MAC向量输入'!K29:K33))</x:f>
        <x:v>0.9961675456844347</x:v>
      </x:c>
      <x:c r="I9" s="29" t="n">
        <x:f>'MAC向量输入'!T9</x:f>
        <x:v>0.9962</x:v>
      </x:c>
      <x:c r="J9" s="43" t="n">
        <x:f>'MAC向量输入'!U9</x:f>
        <x:v>4</x:v>
      </x:c>
      <x:c r="K9" s="40" t="n">
        <x:f>ROUND(H9,J9)</x:f>
        <x:v>0.9962</x:v>
      </x:c>
      <x:c r="L9" s="40" t="n">
        <x:f>ABS(H9-I9)</x:f>
        <x:v>0.0000324543155653112</x:v>
      </x:c>
      <x:c r="M9" s="44" t="n">
        <x:f>IF(ABS(K9-I9)&lt;='论文合同'!$B$5,1,0)</x:f>
        <x:v>1</x:v>
      </x:c>
      <x:c r="N9" s="40" t="n">
        <x:f>'MAC向量输入'!V9</x:f>
        <x:v>0.9961675456844347</x:v>
      </x:c>
      <x:c r="O9" s="40" t="n">
        <x:f>ABS(H9-N9)</x:f>
        <x:v>0</x:v>
      </x:c>
      <x:c r="P9" s="20" t="str">
        <x:v>计算级复现（正确保留坐标历史口径）</x:v>
      </x:c>
      <x:c r="Q9" s="20" t="str">
        <x:v>input/board17/outputs/global_routes_matlab.mat</x:v>
      </x:c>
      <x:c r="R9" s="46" t="n">
        <x:v>1</x:v>
      </x:c>
    </x:row>
    <x:row r="10">
      <x:c r="A10" s="28" t="str">
        <x:f>'MAC向量输入'!L10</x:f>
        <x:v>T3-2-D2-G-M2</x:v>
      </x:c>
      <x:c r="B10" s="28" t="n">
        <x:f>'MAC向量输入'!M10</x:f>
        <x:v>2</x:v>
      </x:c>
      <x:c r="C10" s="28" t="str">
        <x:f>'MAC向量输入'!N10</x:f>
        <x:v>Guyan</x:v>
      </x:c>
      <x:c r="D10" s="28" t="str">
        <x:f>'MAC向量输入'!O10</x:f>
        <x:v>boundary_correct_master</x:v>
      </x:c>
      <x:c r="E10" s="28" t="n">
        <x:f>'MAC向量输入'!P10</x:f>
        <x:v>2</x:v>
      </x:c>
      <x:c r="F10" s="28" t="n">
        <x:f>'MAC向量输入'!Q10</x:f>
        <x:v>5</x:v>
      </x:c>
      <x:c r="G10" s="20" t="str">
        <x:v>34:38</x:v>
      </x:c>
      <x:c r="H10" s="40" t="n">
        <x:f>SUM('MAC向量输入'!I34:I38)^2/(SUM('MAC向量输入'!J34:J38)*SUM('MAC向量输入'!K34:K38))</x:f>
        <x:v>0.9254993073696836</x:v>
      </x:c>
      <x:c r="I10" s="29" t="n">
        <x:f>'MAC向量输入'!T10</x:f>
        <x:v>0.9255</x:v>
      </x:c>
      <x:c r="J10" s="43" t="n">
        <x:f>'MAC向量输入'!U10</x:f>
        <x:v>4</x:v>
      </x:c>
      <x:c r="K10" s="40" t="n">
        <x:f>ROUND(H10,J10)</x:f>
        <x:v>0.9255</x:v>
      </x:c>
      <x:c r="L10" s="40" t="n">
        <x:f>ABS(H10-I10)</x:f>
        <x:v>6.926303164345171e-7</x:v>
      </x:c>
      <x:c r="M10" s="44" t="n">
        <x:f>IF(ABS(K10-I10)&lt;='论文合同'!$B$5,1,0)</x:f>
        <x:v>1</x:v>
      </x:c>
      <x:c r="N10" s="40" t="n">
        <x:f>'MAC向量输入'!V10</x:f>
        <x:v>0.9254993073696836</x:v>
      </x:c>
      <x:c r="O10" s="40" t="n">
        <x:f>ABS(H10-N10)</x:f>
        <x:v>0</x:v>
      </x:c>
      <x:c r="P10" s="20" t="str">
        <x:v>计算级复现（正确保留坐标历史口径）</x:v>
      </x:c>
      <x:c r="Q10" s="20" t="str">
        <x:v>input/board17/outputs/global_routes_matlab.mat</x:v>
      </x:c>
      <x:c r="R10" s="46" t="n">
        <x:v>1</x:v>
      </x:c>
    </x:row>
    <x:row r="11">
      <x:c r="A11" s="28" t="str">
        <x:f>'MAC向量输入'!L11</x:f>
        <x:v>T3-2-D2-CB-M1</x:v>
      </x:c>
      <x:c r="B11" s="28" t="n">
        <x:f>'MAC向量输入'!M11</x:f>
        <x:v>2</x:v>
      </x:c>
      <x:c r="C11" s="28" t="str">
        <x:f>'MAC向量输入'!N11</x:f>
        <x:v>Craig-Bampton</x:v>
      </x:c>
      <x:c r="D11" s="28" t="str">
        <x:f>'MAC向量输入'!O11</x:f>
        <x:v>boundary_correct_master</x:v>
      </x:c>
      <x:c r="E11" s="28" t="n">
        <x:f>'MAC向量输入'!P11</x:f>
        <x:v>1</x:v>
      </x:c>
      <x:c r="F11" s="28" t="n">
        <x:f>'MAC向量输入'!Q11</x:f>
        <x:v>5</x:v>
      </x:c>
      <x:c r="G11" s="20" t="str">
        <x:v>39:43</x:v>
      </x:c>
      <x:c r="H11" s="40" t="n">
        <x:f>SUM('MAC向量输入'!I39:I43)^2/(SUM('MAC向量输入'!J39:J43)*SUM('MAC向量输入'!K39:K43))</x:f>
        <x:v>0.9999999998170523</x:v>
      </x:c>
      <x:c r="I11" s="29" t="n">
        <x:f>'MAC向量输入'!T11</x:f>
        <x:v>1</x:v>
      </x:c>
      <x:c r="J11" s="43" t="n">
        <x:f>'MAC向量输入'!U11</x:f>
        <x:v>4</x:v>
      </x:c>
      <x:c r="K11" s="40" t="n">
        <x:f>ROUND(H11,J11)</x:f>
        <x:v>1</x:v>
      </x:c>
      <x:c r="L11" s="40" t="n">
        <x:f>ABS(H11-I11)</x:f>
        <x:v>1.8294765702364657e-10</x:v>
      </x:c>
      <x:c r="M11" s="44" t="n">
        <x:f>IF(ABS(K11-I11)&lt;='论文合同'!$B$5,1,0)</x:f>
        <x:v>1</x:v>
      </x:c>
      <x:c r="N11" s="40" t="n">
        <x:f>'MAC向量输入'!V11</x:f>
        <x:v>0.9999999998170523</x:v>
      </x:c>
      <x:c r="O11" s="40" t="n">
        <x:f>ABS(H11-N11)</x:f>
        <x:v>0</x:v>
      </x:c>
      <x:c r="P11" s="20" t="str">
        <x:v>计算级复现（正确保留坐标历史口径）</x:v>
      </x:c>
      <x:c r="Q11" s="20" t="str">
        <x:v>input/board17/outputs/global_routes_matlab.mat</x:v>
      </x:c>
      <x:c r="R11" s="46" t="n">
        <x:v>1</x:v>
      </x:c>
    </x:row>
    <x:row r="12">
      <x:c r="A12" s="28" t="str">
        <x:f>'MAC向量输入'!L12</x:f>
        <x:v>T3-2-D2-CB-M2</x:v>
      </x:c>
      <x:c r="B12" s="28" t="n">
        <x:f>'MAC向量输入'!M12</x:f>
        <x:v>2</x:v>
      </x:c>
      <x:c r="C12" s="28" t="str">
        <x:f>'MAC向量输入'!N12</x:f>
        <x:v>Craig-Bampton</x:v>
      </x:c>
      <x:c r="D12" s="28" t="str">
        <x:f>'MAC向量输入'!O12</x:f>
        <x:v>boundary_correct_master</x:v>
      </x:c>
      <x:c r="E12" s="28" t="n">
        <x:f>'MAC向量输入'!P12</x:f>
        <x:v>2</x:v>
      </x:c>
      <x:c r="F12" s="28" t="n">
        <x:f>'MAC向量输入'!Q12</x:f>
        <x:v>5</x:v>
      </x:c>
      <x:c r="G12" s="20" t="str">
        <x:v>44:48</x:v>
      </x:c>
      <x:c r="H12" s="40" t="n">
        <x:f>SUM('MAC向量输入'!I44:I48)^2/(SUM('MAC向量输入'!J44:J48)*SUM('MAC向量输入'!K44:K48))</x:f>
        <x:v>0.9999997834110754</x:v>
      </x:c>
      <x:c r="I12" s="29" t="n">
        <x:f>'MAC向量输入'!T12</x:f>
        <x:v>0.9998</x:v>
      </x:c>
      <x:c r="J12" s="43" t="n">
        <x:f>'MAC向量输入'!U12</x:f>
        <x:v>4</x:v>
      </x:c>
      <x:c r="K12" s="40" t="n">
        <x:f>ROUND(H12,J12)</x:f>
        <x:v>1</x:v>
      </x:c>
      <x:c r="L12" s="40" t="n">
        <x:f>ABS(H12-I12)</x:f>
        <x:v>0.00019978341107540487</x:v>
      </x:c>
      <x:c r="M12" s="45" t="n">
        <x:f>IF(ABS(K12-I12)&lt;='论文合同'!$B$5,1,0)</x:f>
        <x:v>0</x:v>
      </x:c>
      <x:c r="N12" s="40" t="n">
        <x:f>'MAC向量输入'!V12</x:f>
        <x:v>0.9999997834110754</x:v>
      </x:c>
      <x:c r="O12" s="40" t="n">
        <x:f>ABS(H12-N12)</x:f>
        <x:v>0</x:v>
      </x:c>
      <x:c r="P12" s="20" t="str">
        <x:v>历史值/待决定</x:v>
      </x:c>
      <x:c r="Q12" s="20" t="str">
        <x:v>input/board17/outputs/global_routes_matlab.mat</x:v>
      </x:c>
      <x:c r="R12" s="46" t="n">
        <x:v>1</x:v>
      </x:c>
    </x:row>
  </x:sheetData>
  <x:mergeCells>
    <x:mergeCell ref="A1:R1"/>
    <x:mergeCell ref="A2:R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" hidden="0" customWidth="1"/>
    <x:col min="3" max="3" width="12" hidden="0" customWidth="1"/>
    <x:col min="4" max="4" width="9" hidden="0" customWidth="1"/>
    <x:col min="5" max="5" width="18" hidden="0" customWidth="1"/>
    <x:col min="6" max="6" width="18" hidden="0" customWidth="1"/>
    <x:col min="7" max="7" width="10" hidden="0" customWidth="1"/>
    <x:col min="8" max="8" width="14" hidden="0" customWidth="1"/>
    <x:col min="9" max="9" width="34" hidden="0" customWidth="1"/>
    <x:col min="10" max="10" width="11" hidden="0" customWidth="1"/>
    <x:col min="11" max="11" width="11" hidden="0" customWidth="1"/>
    <x:col min="12" max="12" width="22" hidden="0" customWidth="1"/>
    <x:col min="13" max="13" width="11" hidden="0" customWidth="1"/>
    <x:col min="14" max="14" width="20" hidden="0" customWidth="1"/>
    <x:col min="15" max="15" width="18" hidden="0" customWidth="1"/>
    <x:col min="16" max="16" width="18" hidden="0" customWidth="1"/>
    <x:col min="17" max="17" width="18" hidden="0" customWidth="1"/>
    <x:col min="18" max="18" width="13" hidden="0" customWidth="1"/>
    <x:col min="19" max="19" width="9" hidden="0" customWidth="1"/>
    <x:col min="20" max="20" width="18" hidden="0" customWidth="1"/>
    <x:col min="21" max="21" width="30" hidden="0" customWidth="1"/>
    <x:col min="22" max="22" width="26" hidden="0" customWidth="1"/>
  </x:cols>
  <x:sheetData>
    <x:row r="1" ht="30" customHeight="1">
      <x:c r="A1" s="3" t="str">
        <x:v>表3-3冻结误差聚合输入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36" customHeight="1">
      <x:c r="A2" s="7" t="str">
        <x:v>蓝色数值由冻结逐点响应按历史半开时间窗聚合；保留样本数、误差平方和和同楼层完整40 s参考峰峰值。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4" ht="34" customHeight="1">
      <x:c r="A4" s="17" t="str">
        <x:v>单元格ID</x:v>
      </x:c>
      <x:c r="B4" s="17" t="str">
        <x:v>划分</x:v>
      </x:c>
      <x:c r="C4" s="17" t="str">
        <x:v>激励</x:v>
      </x:c>
      <x:c r="D4" s="17" t="str">
        <x:v>频段号</x:v>
      </x:c>
      <x:c r="E4" s="17" t="str">
        <x:v>频段</x:v>
      </x:c>
      <x:c r="F4" s="17" t="str">
        <x:v>方法</x:v>
      </x:c>
      <x:c r="G4" s="17" t="str">
        <x:v>报告楼层</x:v>
      </x:c>
      <x:c r="H4" s="17" t="str">
        <x:v>整组推断楼层</x:v>
      </x:c>
      <x:c r="I4" s="17" t="str">
        <x:v>选择依据</x:v>
      </x:c>
      <x:c r="J4" s="17" t="str">
        <x:v>窗起/s</x:v>
      </x:c>
      <x:c r="K4" s="17" t="str">
        <x:v>窗止/s</x:v>
      </x:c>
      <x:c r="L4" s="17" t="str">
        <x:v>端点规则</x:v>
      </x:c>
      <x:c r="M4" s="17" t="str">
        <x:v>样本数</x:v>
      </x:c>
      <x:c r="N4" s="17" t="str">
        <x:v>误差平方和/mm²</x:v>
      </x:c>
      <x:c r="O4" s="17" t="str">
        <x:v>参考最小/mm</x:v>
      </x:c>
      <x:c r="P4" s="17" t="str">
        <x:v>参考最大/mm</x:v>
      </x:c>
      <x:c r="Q4" s="17" t="str">
        <x:v>参考峰峰值/mm</x:v>
      </x:c>
      <x:c r="R4" s="17" t="str">
        <x:v>论文值/%</x:v>
      </x:c>
      <x:c r="S4" s="17" t="str">
        <x:v>小数位</x:v>
      </x:c>
      <x:c r="T4" s="17" t="str">
        <x:v>Python历史值/%</x:v>
      </x:c>
      <x:c r="U4" s="17" t="str">
        <x:v>来源</x:v>
      </x:c>
      <x:c r="V4" s="17" t="str">
        <x:v>SHA-256</x:v>
      </x:c>
    </x:row>
    <x:row r="5">
      <x:c r="A5" s="20" t="str">
        <x:v>T3-3-D1-Chirp-B1-CB</x:v>
      </x:c>
      <x:c r="B5" s="20" t="n">
        <x:v>1</x:v>
      </x:c>
      <x:c r="C5" s="20" t="str">
        <x:v>Chirp</x:v>
      </x:c>
      <x:c r="D5" s="20" t="n">
        <x:v>1</x:v>
      </x:c>
      <x:c r="E5" s="20" t="str">
        <x:v>0.1-1.9 Hz</x:v>
      </x:c>
      <x:c r="F5" s="20" t="str">
        <x:v>Craig-Bampton</x:v>
      </x:c>
      <x:c r="G5" s="20" t="n">
        <x:v>2</x:v>
      </x:c>
      <x:c r="H5" s="20" t="str">
        <x:v>2</x:v>
      </x:c>
      <x:c r="I5" s="20" t="str">
        <x:v>group_inferred_uniform_floor</x:v>
      </x:c>
      <x:c r="J5" s="49" t="n">
        <x:v>0</x:v>
      </x:c>
      <x:c r="K5" s="49" t="n">
        <x:v>7.27</x:v>
      </x:c>
      <x:c r="L5" s="28" t="str">
        <x:v>historical_[start,end)</x:v>
      </x:c>
      <x:c r="M5" s="28" t="n">
        <x:v>7445</x:v>
      </x:c>
      <x:c r="N5" s="29" t="n">
        <x:v>0.000004201807074096921</x:v>
      </x:c>
      <x:c r="O5" s="29" t="n">
        <x:v>-23.2371509280014</x:v>
      </x:c>
      <x:c r="P5" s="29" t="n">
        <x:v>23.106930503643</x:v>
      </x:c>
      <x:c r="Q5" s="29" t="n">
        <x:v>46.3440814316444</x:v>
      </x:c>
      <x:c r="R5" s="29" t="n">
        <x:v>0.00005</x:v>
      </x:c>
      <x:c r="S5" s="43" t="n">
        <x:v>5</x:v>
      </x:c>
      <x:c r="T5" s="29" t="n">
        <x:v>0.00005126151346441519</x:v>
      </x:c>
      <x:c r="U5" s="20" t="str">
        <x:v>第一类划分_Chirp响应.csv</x:v>
      </x:c>
      <x:c r="V5" s="20" t="str">
        <x:v>2FDC6B5BF3B48118A51DD147ECE32B6711CEFDCD702D88EEC64CFC4E6A13DF49</x:v>
      </x:c>
    </x:row>
    <x:row r="6">
      <x:c r="A6" s="20" t="str">
        <x:v>T3-3-D1-Chirp-B1-G</x:v>
      </x:c>
      <x:c r="B6" s="20" t="n">
        <x:v>1</x:v>
      </x:c>
      <x:c r="C6" s="20" t="str">
        <x:v>Chirp</x:v>
      </x:c>
      <x:c r="D6" s="20" t="n">
        <x:v>1</x:v>
      </x:c>
      <x:c r="E6" s="20" t="str">
        <x:v>0.1-1.9 Hz</x:v>
      </x:c>
      <x:c r="F6" s="20" t="str">
        <x:v>Guyan</x:v>
      </x:c>
      <x:c r="G6" s="20" t="n">
        <x:v>2</x:v>
      </x:c>
      <x:c r="H6" s="20" t="str">
        <x:v>2</x:v>
      </x:c>
      <x:c r="I6" s="20" t="str">
        <x:v>group_inferred_uniform_floor</x:v>
      </x:c>
      <x:c r="J6" s="49" t="n">
        <x:v>0</x:v>
      </x:c>
      <x:c r="K6" s="49" t="n">
        <x:v>7.27</x:v>
      </x:c>
      <x:c r="L6" s="28" t="str">
        <x:v>historical_[start,end)</x:v>
      </x:c>
      <x:c r="M6" s="28" t="n">
        <x:v>7445</x:v>
      </x:c>
      <x:c r="N6" s="29" t="n">
        <x:v>1.3923162664756121</x:v>
      </x:c>
      <x:c r="O6" s="29" t="n">
        <x:v>-23.2371509280014</x:v>
      </x:c>
      <x:c r="P6" s="29" t="n">
        <x:v>23.106930503643</x:v>
      </x:c>
      <x:c r="Q6" s="29" t="n">
        <x:v>46.3440814316444</x:v>
      </x:c>
      <x:c r="R6" s="29" t="n">
        <x:v>0.0295</x:v>
      </x:c>
      <x:c r="S6" s="43" t="n">
        <x:v>4</x:v>
      </x:c>
      <x:c r="T6" s="29" t="n">
        <x:v>0.02950817285837224</x:v>
      </x:c>
      <x:c r="U6" s="20" t="str">
        <x:v>第一类划分_Chirp响应.csv</x:v>
      </x:c>
      <x:c r="V6" s="20" t="str">
        <x:v>2FDC6B5BF3B48118A51DD147ECE32B6711CEFDCD702D88EEC64CFC4E6A13DF49</x:v>
      </x:c>
    </x:row>
    <x:row r="7">
      <x:c r="A7" s="20" t="str">
        <x:v>T3-3-D1-Chirp-B2-CB</x:v>
      </x:c>
      <x:c r="B7" s="20" t="n">
        <x:v>1</x:v>
      </x:c>
      <x:c r="C7" s="20" t="str">
        <x:v>Chirp</x:v>
      </x:c>
      <x:c r="D7" s="20" t="n">
        <x:v>2</x:v>
      </x:c>
      <x:c r="E7" s="20" t="str">
        <x:v>1.9-3.5 Hz</x:v>
      </x:c>
      <x:c r="F7" s="20" t="str">
        <x:v>Craig-Bampton</x:v>
      </x:c>
      <x:c r="G7" s="20" t="n">
        <x:v>2</x:v>
      </x:c>
      <x:c r="H7" s="20" t="str">
        <x:v>2</x:v>
      </x:c>
      <x:c r="I7" s="20" t="str">
        <x:v>group_inferred_uniform_floor</x:v>
      </x:c>
      <x:c r="J7" s="49" t="n">
        <x:v>7.27</x:v>
      </x:c>
      <x:c r="K7" s="49" t="n">
        <x:v>13.73</x:v>
      </x:c>
      <x:c r="L7" s="28" t="str">
        <x:v>historical_[start,end)</x:v>
      </x:c>
      <x:c r="M7" s="28" t="n">
        <x:v>6615</x:v>
      </x:c>
      <x:c r="N7" s="29" t="n">
        <x:v>0.08897942590030741</x:v>
      </x:c>
      <x:c r="O7" s="29" t="n">
        <x:v>-23.2371509280014</x:v>
      </x:c>
      <x:c r="P7" s="29" t="n">
        <x:v>23.106930503643</x:v>
      </x:c>
      <x:c r="Q7" s="29" t="n">
        <x:v>46.3440814316444</x:v>
      </x:c>
      <x:c r="R7" s="29" t="n">
        <x:v>0.0079</x:v>
      </x:c>
      <x:c r="S7" s="43" t="n">
        <x:v>4</x:v>
      </x:c>
      <x:c r="T7" s="29" t="n">
        <x:v>0.007913809591530192</x:v>
      </x:c>
      <x:c r="U7" s="20" t="str">
        <x:v>第一类划分_Chirp响应.csv</x:v>
      </x:c>
      <x:c r="V7" s="20" t="str">
        <x:v>2FDC6B5BF3B48118A51DD147ECE32B6711CEFDCD702D88EEC64CFC4E6A13DF49</x:v>
      </x:c>
    </x:row>
    <x:row r="8">
      <x:c r="A8" s="20" t="str">
        <x:v>T3-3-D1-Chirp-B2-G</x:v>
      </x:c>
      <x:c r="B8" s="20" t="n">
        <x:v>1</x:v>
      </x:c>
      <x:c r="C8" s="20" t="str">
        <x:v>Chirp</x:v>
      </x:c>
      <x:c r="D8" s="20" t="n">
        <x:v>2</x:v>
      </x:c>
      <x:c r="E8" s="20" t="str">
        <x:v>1.9-3.5 Hz</x:v>
      </x:c>
      <x:c r="F8" s="20" t="str">
        <x:v>Guyan</x:v>
      </x:c>
      <x:c r="G8" s="20" t="n">
        <x:v>2</x:v>
      </x:c>
      <x:c r="H8" s="20" t="str">
        <x:v>2</x:v>
      </x:c>
      <x:c r="I8" s="20" t="str">
        <x:v>group_inferred_uniform_floor</x:v>
      </x:c>
      <x:c r="J8" s="49" t="n">
        <x:v>7.27</x:v>
      </x:c>
      <x:c r="K8" s="49" t="n">
        <x:v>13.73</x:v>
      </x:c>
      <x:c r="L8" s="28" t="str">
        <x:v>historical_[start,end)</x:v>
      </x:c>
      <x:c r="M8" s="28" t="n">
        <x:v>6615</x:v>
      </x:c>
      <x:c r="N8" s="29" t="n">
        <x:v>5654.654808434512</x:v>
      </x:c>
      <x:c r="O8" s="29" t="n">
        <x:v>-23.2371509280014</x:v>
      </x:c>
      <x:c r="P8" s="29" t="n">
        <x:v>23.106930503643</x:v>
      </x:c>
      <x:c r="Q8" s="29" t="n">
        <x:v>46.3440814316444</x:v>
      </x:c>
      <x:c r="R8" s="29" t="n">
        <x:v>1.995</x:v>
      </x:c>
      <x:c r="S8" s="43" t="n">
        <x:v>4</x:v>
      </x:c>
      <x:c r="T8" s="29" t="n">
        <x:v>1.9950043468963203</x:v>
      </x:c>
      <x:c r="U8" s="20" t="str">
        <x:v>第一类划分_Chirp响应.csv</x:v>
      </x:c>
      <x:c r="V8" s="20" t="str">
        <x:v>2FDC6B5BF3B48118A51DD147ECE32B6711CEFDCD702D88EEC64CFC4E6A13DF49</x:v>
      </x:c>
    </x:row>
    <x:row r="9">
      <x:c r="A9" s="20" t="str">
        <x:v>T3-3-D1-Chirp-B3-CB</x:v>
      </x:c>
      <x:c r="B9" s="20" t="n">
        <x:v>1</x:v>
      </x:c>
      <x:c r="C9" s="20" t="str">
        <x:v>Chirp</x:v>
      </x:c>
      <x:c r="D9" s="20" t="n">
        <x:v>3</x:v>
      </x:c>
      <x:c r="E9" s="20" t="str">
        <x:v>3.5-5.4 Hz</x:v>
      </x:c>
      <x:c r="F9" s="20" t="str">
        <x:v>Craig-Bampton</x:v>
      </x:c>
      <x:c r="G9" s="20" t="n">
        <x:v>2</x:v>
      </x:c>
      <x:c r="H9" s="20" t="str">
        <x:v>2</x:v>
      </x:c>
      <x:c r="I9" s="20" t="str">
        <x:v>group_inferred_uniform_floor</x:v>
      </x:c>
      <x:c r="J9" s="49" t="n">
        <x:v>13.73</x:v>
      </x:c>
      <x:c r="K9" s="49" t="n">
        <x:v>21.4</x:v>
      </x:c>
      <x:c r="L9" s="28" t="str">
        <x:v>historical_[start,end)</x:v>
      </x:c>
      <x:c r="M9" s="28" t="n">
        <x:v>7854</x:v>
      </x:c>
      <x:c r="N9" s="29" t="n">
        <x:v>0.011003836704653061</x:v>
      </x:c>
      <x:c r="O9" s="29" t="n">
        <x:v>-23.2371509280014</x:v>
      </x:c>
      <x:c r="P9" s="29" t="n">
        <x:v>23.106930503643</x:v>
      </x:c>
      <x:c r="Q9" s="29" t="n">
        <x:v>46.3440814316444</x:v>
      </x:c>
      <x:c r="R9" s="29" t="n">
        <x:v>0.0026</x:v>
      </x:c>
      <x:c r="S9" s="43" t="n">
        <x:v>4</x:v>
      </x:c>
      <x:c r="T9" s="29" t="n">
        <x:v>0.0025540673270155407</x:v>
      </x:c>
      <x:c r="U9" s="20" t="str">
        <x:v>第一类划分_Chirp响应.csv</x:v>
      </x:c>
      <x:c r="V9" s="20" t="str">
        <x:v>2FDC6B5BF3B48118A51DD147ECE32B6711CEFDCD702D88EEC64CFC4E6A13DF49</x:v>
      </x:c>
    </x:row>
    <x:row r="10">
      <x:c r="A10" s="20" t="str">
        <x:v>T3-3-D1-Chirp-B3-G</x:v>
      </x:c>
      <x:c r="B10" s="20" t="n">
        <x:v>1</x:v>
      </x:c>
      <x:c r="C10" s="20" t="str">
        <x:v>Chirp</x:v>
      </x:c>
      <x:c r="D10" s="20" t="n">
        <x:v>3</x:v>
      </x:c>
      <x:c r="E10" s="20" t="str">
        <x:v>3.5-5.4 Hz</x:v>
      </x:c>
      <x:c r="F10" s="20" t="str">
        <x:v>Guyan</x:v>
      </x:c>
      <x:c r="G10" s="20" t="n">
        <x:v>2</x:v>
      </x:c>
      <x:c r="H10" s="20" t="str">
        <x:v>2</x:v>
      </x:c>
      <x:c r="I10" s="20" t="str">
        <x:v>group_inferred_uniform_floor</x:v>
      </x:c>
      <x:c r="J10" s="49" t="n">
        <x:v>13.73</x:v>
      </x:c>
      <x:c r="K10" s="49" t="n">
        <x:v>21.4</x:v>
      </x:c>
      <x:c r="L10" s="28" t="str">
        <x:v>historical_[start,end)</x:v>
      </x:c>
      <x:c r="M10" s="28" t="n">
        <x:v>7854</x:v>
      </x:c>
      <x:c r="N10" s="29" t="n">
        <x:v>653.6118036288254</x:v>
      </x:c>
      <x:c r="O10" s="29" t="n">
        <x:v>-23.2371509280014</x:v>
      </x:c>
      <x:c r="P10" s="29" t="n">
        <x:v>23.106930503643</x:v>
      </x:c>
      <x:c r="Q10" s="29" t="n">
        <x:v>46.3440814316444</x:v>
      </x:c>
      <x:c r="R10" s="29" t="n">
        <x:v>0.6225</x:v>
      </x:c>
      <x:c r="S10" s="43" t="n">
        <x:v>4</x:v>
      </x:c>
      <x:c r="T10" s="29" t="n">
        <x:v>0.6224725667504947</x:v>
      </x:c>
      <x:c r="U10" s="20" t="str">
        <x:v>第一类划分_Chirp响应.csv</x:v>
      </x:c>
      <x:c r="V10" s="20" t="str">
        <x:v>2FDC6B5BF3B48118A51DD147ECE32B6711CEFDCD702D88EEC64CFC4E6A13DF49</x:v>
      </x:c>
    </x:row>
    <x:row r="11">
      <x:c r="A11" s="20" t="str">
        <x:v>T3-3-D1-Chirp-B4-CB</x:v>
      </x:c>
      <x:c r="B11" s="20" t="n">
        <x:v>1</x:v>
      </x:c>
      <x:c r="C11" s="20" t="str">
        <x:v>Chirp</x:v>
      </x:c>
      <x:c r="D11" s="20" t="n">
        <x:v>4</x:v>
      </x:c>
      <x:c r="E11" s="20" t="str">
        <x:v>5.4-8.1 Hz</x:v>
      </x:c>
      <x:c r="F11" s="20" t="str">
        <x:v>Craig-Bampton</x:v>
      </x:c>
      <x:c r="G11" s="20" t="n">
        <x:v>2</x:v>
      </x:c>
      <x:c r="H11" s="20" t="str">
        <x:v>2</x:v>
      </x:c>
      <x:c r="I11" s="20" t="str">
        <x:v>group_inferred_uniform_floor</x:v>
      </x:c>
      <x:c r="J11" s="49" t="n">
        <x:v>21.4</x:v>
      </x:c>
      <x:c r="K11" s="49" t="n">
        <x:v>32.31</x:v>
      </x:c>
      <x:c r="L11" s="28" t="str">
        <x:v>historical_[start,end)</x:v>
      </x:c>
      <x:c r="M11" s="28" t="n">
        <x:v>11172</x:v>
      </x:c>
      <x:c r="N11" s="29" t="n">
        <x:v>0.01939006619219027</x:v>
      </x:c>
      <x:c r="O11" s="29" t="n">
        <x:v>-23.2371509280014</x:v>
      </x:c>
      <x:c r="P11" s="29" t="n">
        <x:v>23.106930503643</x:v>
      </x:c>
      <x:c r="Q11" s="29" t="n">
        <x:v>46.3440814316444</x:v>
      </x:c>
      <x:c r="R11" s="29" t="n">
        <x:v>0.0028</x:v>
      </x:c>
      <x:c r="S11" s="43" t="n">
        <x:v>4</x:v>
      </x:c>
      <x:c r="T11" s="29" t="n">
        <x:v>0.0028426926310600115</x:v>
      </x:c>
      <x:c r="U11" s="20" t="str">
        <x:v>第一类划分_Chirp响应.csv</x:v>
      </x:c>
      <x:c r="V11" s="20" t="str">
        <x:v>2FDC6B5BF3B48118A51DD147ECE32B6711CEFDCD702D88EEC64CFC4E6A13DF49</x:v>
      </x:c>
    </x:row>
    <x:row r="12">
      <x:c r="A12" s="20" t="str">
        <x:v>T3-3-D1-Chirp-B4-G</x:v>
      </x:c>
      <x:c r="B12" s="20" t="n">
        <x:v>1</x:v>
      </x:c>
      <x:c r="C12" s="20" t="str">
        <x:v>Chirp</x:v>
      </x:c>
      <x:c r="D12" s="20" t="n">
        <x:v>4</x:v>
      </x:c>
      <x:c r="E12" s="20" t="str">
        <x:v>5.4-8.1 Hz</x:v>
      </x:c>
      <x:c r="F12" s="20" t="str">
        <x:v>Guyan</x:v>
      </x:c>
      <x:c r="G12" s="20" t="n">
        <x:v>2</x:v>
      </x:c>
      <x:c r="H12" s="20" t="str">
        <x:v>2</x:v>
      </x:c>
      <x:c r="I12" s="20" t="str">
        <x:v>group_inferred_uniform_floor</x:v>
      </x:c>
      <x:c r="J12" s="49" t="n">
        <x:v>21.4</x:v>
      </x:c>
      <x:c r="K12" s="49" t="n">
        <x:v>32.31</x:v>
      </x:c>
      <x:c r="L12" s="28" t="str">
        <x:v>historical_[start,end)</x:v>
      </x:c>
      <x:c r="M12" s="28" t="n">
        <x:v>11172</x:v>
      </x:c>
      <x:c r="N12" s="29" t="n">
        <x:v>13.994926759159508</x:v>
      </x:c>
      <x:c r="O12" s="29" t="n">
        <x:v>-23.2371509280014</x:v>
      </x:c>
      <x:c r="P12" s="29" t="n">
        <x:v>23.106930503643</x:v>
      </x:c>
      <x:c r="Q12" s="29" t="n">
        <x:v>46.3440814316444</x:v>
      </x:c>
      <x:c r="R12" s="29" t="n">
        <x:v>0.0764</x:v>
      </x:c>
      <x:c r="S12" s="43" t="n">
        <x:v>4</x:v>
      </x:c>
      <x:c r="T12" s="29" t="n">
        <x:v>0.07637048926060054</x:v>
      </x:c>
      <x:c r="U12" s="20" t="str">
        <x:v>第一类划分_Chirp响应.csv</x:v>
      </x:c>
      <x:c r="V12" s="20" t="str">
        <x:v>2FDC6B5BF3B48118A51DD147ECE32B6711CEFDCD702D88EEC64CFC4E6A13DF49</x:v>
      </x:c>
    </x:row>
    <x:row r="13">
      <x:c r="A13" s="20" t="str">
        <x:v>T3-3-D1-Chirp-B5-CB</x:v>
      </x:c>
      <x:c r="B13" s="20" t="n">
        <x:v>1</x:v>
      </x:c>
      <x:c r="C13" s="20" t="str">
        <x:v>Chirp</x:v>
      </x:c>
      <x:c r="D13" s="20" t="n">
        <x:v>5</x:v>
      </x:c>
      <x:c r="E13" s="20" t="str">
        <x:v>8.1-10 Hz</x:v>
      </x:c>
      <x:c r="F13" s="20" t="str">
        <x:v>Craig-Bampton</x:v>
      </x:c>
      <x:c r="G13" s="20" t="n">
        <x:v>2</x:v>
      </x:c>
      <x:c r="H13" s="20" t="str">
        <x:v>2</x:v>
      </x:c>
      <x:c r="I13" s="20" t="str">
        <x:v>group_inferred_uniform_floor</x:v>
      </x:c>
      <x:c r="J13" s="49" t="n">
        <x:v>32.31</x:v>
      </x:c>
      <x:c r="K13" s="49" t="n">
        <x:v>40</x:v>
      </x:c>
      <x:c r="L13" s="28" t="str">
        <x:v>historical_[start,end)</x:v>
      </x:c>
      <x:c r="M13" s="28" t="n">
        <x:v>7874</x:v>
      </x:c>
      <x:c r="N13" s="29" t="n">
        <x:v>4.317458111028345</x:v>
      </x:c>
      <x:c r="O13" s="29" t="n">
        <x:v>-23.2371509280014</x:v>
      </x:c>
      <x:c r="P13" s="29" t="n">
        <x:v>23.106930503643</x:v>
      </x:c>
      <x:c r="Q13" s="29" t="n">
        <x:v>46.3440814316444</x:v>
      </x:c>
      <x:c r="R13" s="29" t="n">
        <x:v>0.0505</x:v>
      </x:c>
      <x:c r="S13" s="43" t="n">
        <x:v>4</x:v>
      </x:c>
      <x:c r="T13" s="29" t="n">
        <x:v>0.05052683355777134</x:v>
      </x:c>
      <x:c r="U13" s="20" t="str">
        <x:v>第一类划分_Chirp响应.csv</x:v>
      </x:c>
      <x:c r="V13" s="20" t="str">
        <x:v>2FDC6B5BF3B48118A51DD147ECE32B6711CEFDCD702D88EEC64CFC4E6A13DF49</x:v>
      </x:c>
    </x:row>
    <x:row r="14">
      <x:c r="A14" s="20" t="str">
        <x:v>T3-3-D1-Chirp-B5-G</x:v>
      </x:c>
      <x:c r="B14" s="20" t="n">
        <x:v>1</x:v>
      </x:c>
      <x:c r="C14" s="20" t="str">
        <x:v>Chirp</x:v>
      </x:c>
      <x:c r="D14" s="20" t="n">
        <x:v>5</x:v>
      </x:c>
      <x:c r="E14" s="20" t="str">
        <x:v>8.1-10 Hz</x:v>
      </x:c>
      <x:c r="F14" s="20" t="str">
        <x:v>Guyan</x:v>
      </x:c>
      <x:c r="G14" s="20" t="n">
        <x:v>2</x:v>
      </x:c>
      <x:c r="H14" s="20" t="str">
        <x:v>2</x:v>
      </x:c>
      <x:c r="I14" s="20" t="str">
        <x:v>group_inferred_uniform_floor</x:v>
      </x:c>
      <x:c r="J14" s="49" t="n">
        <x:v>32.31</x:v>
      </x:c>
      <x:c r="K14" s="49" t="n">
        <x:v>40</x:v>
      </x:c>
      <x:c r="L14" s="28" t="str">
        <x:v>historical_[start,end)</x:v>
      </x:c>
      <x:c r="M14" s="28" t="n">
        <x:v>7874</x:v>
      </x:c>
      <x:c r="N14" s="29" t="n">
        <x:v>938.6655423349498</x:v>
      </x:c>
      <x:c r="O14" s="29" t="n">
        <x:v>-23.2371509280014</x:v>
      </x:c>
      <x:c r="P14" s="29" t="n">
        <x:v>23.106930503643</x:v>
      </x:c>
      <x:c r="Q14" s="29" t="n">
        <x:v>46.3440814316444</x:v>
      </x:c>
      <x:c r="R14" s="29" t="n">
        <x:v>0.7452</x:v>
      </x:c>
      <x:c r="S14" s="43" t="n">
        <x:v>4</x:v>
      </x:c>
      <x:c r="T14" s="29" t="n">
        <x:v>0.7450123189296456</x:v>
      </x:c>
      <x:c r="U14" s="20" t="str">
        <x:v>第一类划分_Chirp响应.csv</x:v>
      </x:c>
      <x:c r="V14" s="20" t="str">
        <x:v>2FDC6B5BF3B48118A51DD147ECE32B6711CEFDCD702D88EEC64CFC4E6A13DF49</x:v>
      </x:c>
    </x:row>
    <x:row r="15">
      <x:c r="A15" s="20" t="str">
        <x:v>T3-3-D1-ElCentro-B0-CB</x:v>
      </x:c>
      <x:c r="B15" s="20" t="n">
        <x:v>1</x:v>
      </x:c>
      <x:c r="C15" s="20" t="str">
        <x:v>ElCentro</x:v>
      </x:c>
      <x:c r="D15" s="20" t="n">
        <x:v>0</x:v>
      </x:c>
      <x:c r="E15" s="20" t="str">
        <x:v>El Centro full</x:v>
      </x:c>
      <x:c r="F15" s="20" t="str">
        <x:v>Craig-Bampton</x:v>
      </x:c>
      <x:c r="G15" s="20" t="n">
        <x:v>2</x:v>
      </x:c>
      <x:c r="H15" s="20" t="str">
        <x:v>2</x:v>
      </x:c>
      <x:c r="I15" s="20" t="str">
        <x:v>group_inferred_uniform_floor</x:v>
      </x:c>
      <x:c r="J15" s="49" t="n">
        <x:v>0</x:v>
      </x:c>
      <x:c r="K15" s="49" t="n">
        <x:v>40</x:v>
      </x:c>
      <x:c r="L15" s="28" t="str">
        <x:v>all_samples</x:v>
      </x:c>
      <x:c r="M15" s="28" t="n">
        <x:v>40961</x:v>
      </x:c>
      <x:c r="N15" s="29" t="n">
        <x:v>0.03524161723430878</x:v>
      </x:c>
      <x:c r="O15" s="29" t="n">
        <x:v>-7.71294534615434</x:v>
      </x:c>
      <x:c r="P15" s="29" t="n">
        <x:v>8.41806309183632</x:v>
      </x:c>
      <x:c r="Q15" s="29" t="n">
        <x:v>16.13100843799066</x:v>
      </x:c>
      <x:c r="R15" s="29" t="n">
        <x:v>0.0058</x:v>
      </x:c>
      <x:c r="S15" s="43" t="n">
        <x:v>4</x:v>
      </x:c>
      <x:c r="T15" s="29" t="n">
        <x:v>0.005750175782225684</x:v>
      </x:c>
      <x:c r="U15" s="20" t="str">
        <x:v>第一类划分_ElCentro地震响应.csv</x:v>
      </x:c>
      <x:c r="V15" s="20" t="str">
        <x:v>E7149DD6777B2127527393CE1D7B126B040576F0A535618BE33E882738ACFC40</x:v>
      </x:c>
    </x:row>
    <x:row r="16">
      <x:c r="A16" s="20" t="str">
        <x:v>T3-3-D1-ElCentro-B0-G</x:v>
      </x:c>
      <x:c r="B16" s="20" t="n">
        <x:v>1</x:v>
      </x:c>
      <x:c r="C16" s="20" t="str">
        <x:v>ElCentro</x:v>
      </x:c>
      <x:c r="D16" s="20" t="n">
        <x:v>0</x:v>
      </x:c>
      <x:c r="E16" s="20" t="str">
        <x:v>El Centro full</x:v>
      </x:c>
      <x:c r="F16" s="20" t="str">
        <x:v>Guyan</x:v>
      </x:c>
      <x:c r="G16" s="20" t="n">
        <x:v>2</x:v>
      </x:c>
      <x:c r="H16" s="20" t="str">
        <x:v>2</x:v>
      </x:c>
      <x:c r="I16" s="20" t="str">
        <x:v>group_inferred_uniform_floor</x:v>
      </x:c>
      <x:c r="J16" s="49" t="n">
        <x:v>0</x:v>
      </x:c>
      <x:c r="K16" s="49" t="n">
        <x:v>40</x:v>
      </x:c>
      <x:c r="L16" s="28" t="str">
        <x:v>all_samples</x:v>
      </x:c>
      <x:c r="M16" s="28" t="n">
        <x:v>40961</x:v>
      </x:c>
      <x:c r="N16" s="29" t="n">
        <x:v>612.0849112276503</x:v>
      </x:c>
      <x:c r="O16" s="29" t="n">
        <x:v>-7.71294534615434</x:v>
      </x:c>
      <x:c r="P16" s="29" t="n">
        <x:v>8.41806309183632</x:v>
      </x:c>
      <x:c r="Q16" s="29" t="n">
        <x:v>16.13100843799066</x:v>
      </x:c>
      <x:c r="R16" s="29" t="n">
        <x:v>0.7578</x:v>
      </x:c>
      <x:c r="S16" s="43" t="n">
        <x:v>4</x:v>
      </x:c>
      <x:c r="T16" s="29" t="n">
        <x:v>0.7578077511377075</x:v>
      </x:c>
      <x:c r="U16" s="20" t="str">
        <x:v>第一类划分_ElCentro地震响应.csv</x:v>
      </x:c>
      <x:c r="V16" s="20" t="str">
        <x:v>E7149DD6777B2127527393CE1D7B126B040576F0A535618BE33E882738ACFC40</x:v>
      </x:c>
    </x:row>
    <x:row r="17">
      <x:c r="A17" s="20" t="str">
        <x:v>T3-3-D2-Chirp-B1-CB</x:v>
      </x:c>
      <x:c r="B17" s="20" t="n">
        <x:v>2</x:v>
      </x:c>
      <x:c r="C17" s="20" t="str">
        <x:v>Chirp</x:v>
      </x:c>
      <x:c r="D17" s="20" t="n">
        <x:v>1</x:v>
      </x:c>
      <x:c r="E17" s="20" t="str">
        <x:v>0.1-1.9 Hz</x:v>
      </x:c>
      <x:c r="F17" s="20" t="str">
        <x:v>Craig-Bampton</x:v>
      </x:c>
      <x:c r="G17" s="20" t="n">
        <x:v>1</x:v>
      </x:c>
      <x:c r="H17" s="20" t="str">
        <x:v>NONE</x:v>
      </x:c>
      <x:c r="I17" s="20" t="str">
        <x:v>no_uniform_floor; nearest_historical_reported_only</x:v>
      </x:c>
      <x:c r="J17" s="49" t="n">
        <x:v>0</x:v>
      </x:c>
      <x:c r="K17" s="49" t="n">
        <x:v>7.27</x:v>
      </x:c>
      <x:c r="L17" s="28" t="str">
        <x:v>historical_[start,end)</x:v>
      </x:c>
      <x:c r="M17" s="28" t="n">
        <x:v>7445</x:v>
      </x:c>
      <x:c r="N17" s="29" t="n">
        <x:v>0.00033210233047084207</x:v>
      </x:c>
      <x:c r="O17" s="29" t="n">
        <x:v>-8.83495933787708</x:v>
      </x:c>
      <x:c r="P17" s="29" t="n">
        <x:v>8.80436597474335</x:v>
      </x:c>
      <x:c r="Q17" s="29" t="n">
        <x:v>17.63932531262043</x:v>
      </x:c>
      <x:c r="R17" s="29" t="n">
        <x:v>0.0037</x:v>
      </x:c>
      <x:c r="S17" s="43" t="n">
        <x:v>4</x:v>
      </x:c>
      <x:c r="T17" s="29" t="n">
        <x:v>0.001197351439857806</x:v>
      </x:c>
      <x:c r="U17" s="20" t="str">
        <x:v>第二类划分_Chirp响应.csv</x:v>
      </x:c>
      <x:c r="V17" s="20" t="str">
        <x:v>88919C2AFA4FC431EDB08772A1DCB091B6D8DC1445253C0A4D30334223040457</x:v>
      </x:c>
    </x:row>
    <x:row r="18">
      <x:c r="A18" s="20" t="str">
        <x:v>T3-3-D2-Chirp-B1-G</x:v>
      </x:c>
      <x:c r="B18" s="20" t="n">
        <x:v>2</x:v>
      </x:c>
      <x:c r="C18" s="20" t="str">
        <x:v>Chirp</x:v>
      </x:c>
      <x:c r="D18" s="20" t="n">
        <x:v>1</x:v>
      </x:c>
      <x:c r="E18" s="20" t="str">
        <x:v>0.1-1.9 Hz</x:v>
      </x:c>
      <x:c r="F18" s="20" t="str">
        <x:v>Guyan</x:v>
      </x:c>
      <x:c r="G18" s="20" t="n">
        <x:v>2</x:v>
      </x:c>
      <x:c r="H18" s="20" t="str">
        <x:v>NONE</x:v>
      </x:c>
      <x:c r="I18" s="20" t="str">
        <x:v>no_uniform_floor; nearest_historical_reported_only</x:v>
      </x:c>
      <x:c r="J18" s="49" t="n">
        <x:v>0</x:v>
      </x:c>
      <x:c r="K18" s="49" t="n">
        <x:v>7.27</x:v>
      </x:c>
      <x:c r="L18" s="28" t="str">
        <x:v>historical_[start,end)</x:v>
      </x:c>
      <x:c r="M18" s="28" t="n">
        <x:v>7445</x:v>
      </x:c>
      <x:c r="N18" s="29" t="n">
        <x:v>1060.5406682559328</x:v>
      </x:c>
      <x:c r="O18" s="29" t="n">
        <x:v>-23.2371509280014</x:v>
      </x:c>
      <x:c r="P18" s="29" t="n">
        <x:v>23.106930503643</x:v>
      </x:c>
      <x:c r="Q18" s="29" t="n">
        <x:v>46.3440814316444</x:v>
      </x:c>
      <x:c r="R18" s="29" t="n">
        <x:v>2.9956</x:v>
      </x:c>
      <x:c r="S18" s="43" t="n">
        <x:v>4</x:v>
      </x:c>
      <x:c r="T18" s="29" t="n">
        <x:v>0.8143986289091448</x:v>
      </x:c>
      <x:c r="U18" s="20" t="str">
        <x:v>第二类划分_Chirp响应.csv</x:v>
      </x:c>
      <x:c r="V18" s="20" t="str">
        <x:v>88919C2AFA4FC431EDB08772A1DCB091B6D8DC1445253C0A4D30334223040457</x:v>
      </x:c>
    </x:row>
    <x:row r="19">
      <x:c r="A19" s="20" t="str">
        <x:v>T3-3-D2-Chirp-B2-CB</x:v>
      </x:c>
      <x:c r="B19" s="20" t="n">
        <x:v>2</x:v>
      </x:c>
      <x:c r="C19" s="20" t="str">
        <x:v>Chirp</x:v>
      </x:c>
      <x:c r="D19" s="20" t="n">
        <x:v>2</x:v>
      </x:c>
      <x:c r="E19" s="20" t="str">
        <x:v>1.9-3.5 Hz</x:v>
      </x:c>
      <x:c r="F19" s="20" t="str">
        <x:v>Craig-Bampton</x:v>
      </x:c>
      <x:c r="G19" s="20" t="n">
        <x:v>3</x:v>
      </x:c>
      <x:c r="H19" s="20" t="str">
        <x:v>NONE</x:v>
      </x:c>
      <x:c r="I19" s="20" t="str">
        <x:v>no_uniform_floor; nearest_historical_reported_only</x:v>
      </x:c>
      <x:c r="J19" s="49" t="n">
        <x:v>7.27</x:v>
      </x:c>
      <x:c r="K19" s="49" t="n">
        <x:v>13.73</x:v>
      </x:c>
      <x:c r="L19" s="28" t="str">
        <x:v>historical_[start,end)</x:v>
      </x:c>
      <x:c r="M19" s="28" t="n">
        <x:v>6615</x:v>
      </x:c>
      <x:c r="N19" s="29" t="n">
        <x:v>16.804634364223745</x:v>
      </x:c>
      <x:c r="O19" s="29" t="n">
        <x:v>-34.5616666952421</x:v>
      </x:c>
      <x:c r="P19" s="29" t="n">
        <x:v>34.3263377263342</x:v>
      </x:c>
      <x:c r="Q19" s="29" t="n">
        <x:v>68.88800442157631</x:v>
      </x:c>
      <x:c r="R19" s="29" t="n">
        <x:v>0.056</x:v>
      </x:c>
      <x:c r="S19" s="43" t="n">
        <x:v>4</x:v>
      </x:c>
      <x:c r="T19" s="29" t="n">
        <x:v>0.0731654428151781</x:v>
      </x:c>
      <x:c r="U19" s="20" t="str">
        <x:v>第二类划分_Chirp响应.csv</x:v>
      </x:c>
      <x:c r="V19" s="20" t="str">
        <x:v>88919C2AFA4FC431EDB08772A1DCB091B6D8DC1445253C0A4D30334223040457</x:v>
      </x:c>
    </x:row>
    <x:row r="20">
      <x:c r="A20" s="20" t="str">
        <x:v>T3-3-D2-Chirp-B2-G</x:v>
      </x:c>
      <x:c r="B20" s="20" t="n">
        <x:v>2</x:v>
      </x:c>
      <x:c r="C20" s="20" t="str">
        <x:v>Chirp</x:v>
      </x:c>
      <x:c r="D20" s="20" t="n">
        <x:v>2</x:v>
      </x:c>
      <x:c r="E20" s="20" t="str">
        <x:v>1.9-3.5 Hz</x:v>
      </x:c>
      <x:c r="F20" s="20" t="str">
        <x:v>Guyan</x:v>
      </x:c>
      <x:c r="G20" s="20" t="n">
        <x:v>1</x:v>
      </x:c>
      <x:c r="H20" s="20" t="str">
        <x:v>NONE</x:v>
      </x:c>
      <x:c r="I20" s="20" t="str">
        <x:v>no_uniform_floor; nearest_historical_reported_only</x:v>
      </x:c>
      <x:c r="J20" s="49" t="n">
        <x:v>7.27</x:v>
      </x:c>
      <x:c r="K20" s="49" t="n">
        <x:v>13.73</x:v>
      </x:c>
      <x:c r="L20" s="28" t="str">
        <x:v>historical_[start,end)</x:v>
      </x:c>
      <x:c r="M20" s="28" t="n">
        <x:v>6615</x:v>
      </x:c>
      <x:c r="N20" s="29" t="n">
        <x:v>148489.8357639727</x:v>
      </x:c>
      <x:c r="O20" s="29" t="n">
        <x:v>-8.83495933787708</x:v>
      </x:c>
      <x:c r="P20" s="29" t="n">
        <x:v>8.80436597474335</x:v>
      </x:c>
      <x:c r="Q20" s="29" t="n">
        <x:v>17.63932531262043</x:v>
      </x:c>
      <x:c r="R20" s="29" t="n">
        <x:v>19.0594</x:v>
      </x:c>
      <x:c r="S20" s="43" t="n">
        <x:v>4</x:v>
      </x:c>
      <x:c r="T20" s="29" t="n">
        <x:v>26.85971928168189</x:v>
      </x:c>
      <x:c r="U20" s="20" t="str">
        <x:v>第二类划分_Chirp响应.csv</x:v>
      </x:c>
      <x:c r="V20" s="20" t="str">
        <x:v>88919C2AFA4FC431EDB08772A1DCB091B6D8DC1445253C0A4D30334223040457</x:v>
      </x:c>
    </x:row>
    <x:row r="21">
      <x:c r="A21" s="20" t="str">
        <x:v>T3-3-D2-Chirp-B3-CB</x:v>
      </x:c>
      <x:c r="B21" s="20" t="n">
        <x:v>2</x:v>
      </x:c>
      <x:c r="C21" s="20" t="str">
        <x:v>Chirp</x:v>
      </x:c>
      <x:c r="D21" s="20" t="n">
        <x:v>3</x:v>
      </x:c>
      <x:c r="E21" s="20" t="str">
        <x:v>3.5-5.4 Hz</x:v>
      </x:c>
      <x:c r="F21" s="20" t="str">
        <x:v>Craig-Bampton</x:v>
      </x:c>
      <x:c r="G21" s="20" t="n">
        <x:v>1</x:v>
      </x:c>
      <x:c r="H21" s="20" t="str">
        <x:v>NONE</x:v>
      </x:c>
      <x:c r="I21" s="20" t="str">
        <x:v>no_uniform_floor; nearest_historical_reported_only</x:v>
      </x:c>
      <x:c r="J21" s="49" t="n">
        <x:v>13.73</x:v>
      </x:c>
      <x:c r="K21" s="49" t="n">
        <x:v>21.4</x:v>
      </x:c>
      <x:c r="L21" s="28" t="str">
        <x:v>historical_[start,end)</x:v>
      </x:c>
      <x:c r="M21" s="28" t="n">
        <x:v>7854</x:v>
      </x:c>
      <x:c r="N21" s="29" t="n">
        <x:v>0.12498347958021434</x:v>
      </x:c>
      <x:c r="O21" s="29" t="n">
        <x:v>-8.83495933787708</x:v>
      </x:c>
      <x:c r="P21" s="29" t="n">
        <x:v>8.80436597474335</x:v>
      </x:c>
      <x:c r="Q21" s="29" t="n">
        <x:v>17.63932531262043</x:v>
      </x:c>
      <x:c r="R21" s="29" t="n">
        <x:v>0.0296</x:v>
      </x:c>
      <x:c r="S21" s="43" t="n">
        <x:v>4</x:v>
      </x:c>
      <x:c r="T21" s="29" t="n">
        <x:v>0.022615119527870615</x:v>
      </x:c>
      <x:c r="U21" s="20" t="str">
        <x:v>第二类划分_Chirp响应.csv</x:v>
      </x:c>
      <x:c r="V21" s="20" t="str">
        <x:v>88919C2AFA4FC431EDB08772A1DCB091B6D8DC1445253C0A4D30334223040457</x:v>
      </x:c>
    </x:row>
    <x:row r="22">
      <x:c r="A22" s="20" t="str">
        <x:v>T3-3-D2-Chirp-B3-G</x:v>
      </x:c>
      <x:c r="B22" s="20" t="n">
        <x:v>2</x:v>
      </x:c>
      <x:c r="C22" s="20" t="str">
        <x:v>Chirp</x:v>
      </x:c>
      <x:c r="D22" s="20" t="n">
        <x:v>3</x:v>
      </x:c>
      <x:c r="E22" s="20" t="str">
        <x:v>3.5-5.4 Hz</x:v>
      </x:c>
      <x:c r="F22" s="20" t="str">
        <x:v>Guyan</x:v>
      </x:c>
      <x:c r="G22" s="20" t="n">
        <x:v>3</x:v>
      </x:c>
      <x:c r="H22" s="20" t="str">
        <x:v>NONE</x:v>
      </x:c>
      <x:c r="I22" s="20" t="str">
        <x:v>no_uniform_floor; nearest_historical_reported_only</x:v>
      </x:c>
      <x:c r="J22" s="49" t="n">
        <x:v>13.73</x:v>
      </x:c>
      <x:c r="K22" s="49" t="n">
        <x:v>21.4</x:v>
      </x:c>
      <x:c r="L22" s="28" t="str">
        <x:v>historical_[start,end)</x:v>
      </x:c>
      <x:c r="M22" s="28" t="n">
        <x:v>7854</x:v>
      </x:c>
      <x:c r="N22" s="29" t="n">
        <x:v>465636.07777733484</x:v>
      </x:c>
      <x:c r="O22" s="29" t="n">
        <x:v>-34.5616666952421</x:v>
      </x:c>
      <x:c r="P22" s="29" t="n">
        <x:v>34.3263377263342</x:v>
      </x:c>
      <x:c r="Q22" s="29" t="n">
        <x:v>68.88800442157631</x:v>
      </x:c>
      <x:c r="R22" s="29" t="n">
        <x:v>14.876</x:v>
      </x:c>
      <x:c r="S22" s="43" t="n">
        <x:v>4</x:v>
      </x:c>
      <x:c r="T22" s="29" t="n">
        <x:v>11.17723182403666</x:v>
      </x:c>
      <x:c r="U22" s="20" t="str">
        <x:v>第二类划分_Chirp响应.csv</x:v>
      </x:c>
      <x:c r="V22" s="20" t="str">
        <x:v>88919C2AFA4FC431EDB08772A1DCB091B6D8DC1445253C0A4D30334223040457</x:v>
      </x:c>
    </x:row>
    <x:row r="23">
      <x:c r="A23" s="20" t="str">
        <x:v>T3-3-D2-Chirp-B4-CB</x:v>
      </x:c>
      <x:c r="B23" s="20" t="n">
        <x:v>2</x:v>
      </x:c>
      <x:c r="C23" s="20" t="str">
        <x:v>Chirp</x:v>
      </x:c>
      <x:c r="D23" s="20" t="n">
        <x:v>4</x:v>
      </x:c>
      <x:c r="E23" s="20" t="str">
        <x:v>5.4-8.1 Hz</x:v>
      </x:c>
      <x:c r="F23" s="20" t="str">
        <x:v>Craig-Bampton</x:v>
      </x:c>
      <x:c r="G23" s="20" t="n">
        <x:v>1</x:v>
      </x:c>
      <x:c r="H23" s="20" t="str">
        <x:v>NONE</x:v>
      </x:c>
      <x:c r="I23" s="20" t="str">
        <x:v>no_uniform_floor; nearest_historical_reported_only</x:v>
      </x:c>
      <x:c r="J23" s="49" t="n">
        <x:v>21.4</x:v>
      </x:c>
      <x:c r="K23" s="49" t="n">
        <x:v>32.31</x:v>
      </x:c>
      <x:c r="L23" s="28" t="str">
        <x:v>historical_[start,end)</x:v>
      </x:c>
      <x:c r="M23" s="28" t="n">
        <x:v>11172</x:v>
      </x:c>
      <x:c r="N23" s="29" t="n">
        <x:v>0.005468225617164862</x:v>
      </x:c>
      <x:c r="O23" s="29" t="n">
        <x:v>-8.83495933787708</x:v>
      </x:c>
      <x:c r="P23" s="29" t="n">
        <x:v>8.80436597474335</x:v>
      </x:c>
      <x:c r="Q23" s="29" t="n">
        <x:v>17.63932531262043</x:v>
      </x:c>
      <x:c r="R23" s="29" t="n">
        <x:v>0.0139</x:v>
      </x:c>
      <x:c r="S23" s="43" t="n">
        <x:v>4</x:v>
      </x:c>
      <x:c r="T23" s="29" t="n">
        <x:v>0.003966210676641572</x:v>
      </x:c>
      <x:c r="U23" s="20" t="str">
        <x:v>第二类划分_Chirp响应.csv</x:v>
      </x:c>
      <x:c r="V23" s="20" t="str">
        <x:v>88919C2AFA4FC431EDB08772A1DCB091B6D8DC1445253C0A4D30334223040457</x:v>
      </x:c>
    </x:row>
    <x:row r="24">
      <x:c r="A24" s="20" t="str">
        <x:v>T3-3-D2-Chirp-B4-G</x:v>
      </x:c>
      <x:c r="B24" s="20" t="n">
        <x:v>2</x:v>
      </x:c>
      <x:c r="C24" s="20" t="str">
        <x:v>Chirp</x:v>
      </x:c>
      <x:c r="D24" s="20" t="n">
        <x:v>4</x:v>
      </x:c>
      <x:c r="E24" s="20" t="str">
        <x:v>5.4-8.1 Hz</x:v>
      </x:c>
      <x:c r="F24" s="20" t="str">
        <x:v>Guyan</x:v>
      </x:c>
      <x:c r="G24" s="20" t="n">
        <x:v>3</x:v>
      </x:c>
      <x:c r="H24" s="20" t="str">
        <x:v>NONE</x:v>
      </x:c>
      <x:c r="I24" s="20" t="str">
        <x:v>no_uniform_floor; nearest_historical_reported_only</x:v>
      </x:c>
      <x:c r="J24" s="49" t="n">
        <x:v>21.4</x:v>
      </x:c>
      <x:c r="K24" s="49" t="n">
        <x:v>32.31</x:v>
      </x:c>
      <x:c r="L24" s="28" t="str">
        <x:v>historical_[start,end)</x:v>
      </x:c>
      <x:c r="M24" s="28" t="n">
        <x:v>11172</x:v>
      </x:c>
      <x:c r="N24" s="29" t="n">
        <x:v>1044.8448438672267</x:v>
      </x:c>
      <x:c r="O24" s="29" t="n">
        <x:v>-34.5616666952421</x:v>
      </x:c>
      <x:c r="P24" s="29" t="n">
        <x:v>34.3263377263342</x:v>
      </x:c>
      <x:c r="Q24" s="29" t="n">
        <x:v>68.88800442157631</x:v>
      </x:c>
      <x:c r="R24" s="29" t="n">
        <x:v>7.4984</x:v>
      </x:c>
      <x:c r="S24" s="43" t="n">
        <x:v>4</x:v>
      </x:c>
      <x:c r="T24" s="29" t="n">
        <x:v>0.4439323913761823</x:v>
      </x:c>
      <x:c r="U24" s="20" t="str">
        <x:v>第二类划分_Chirp响应.csv</x:v>
      </x:c>
      <x:c r="V24" s="20" t="str">
        <x:v>88919C2AFA4FC431EDB08772A1DCB091B6D8DC1445253C0A4D30334223040457</x:v>
      </x:c>
    </x:row>
    <x:row r="25">
      <x:c r="A25" s="20" t="str">
        <x:v>T3-3-D2-Chirp-B5-CB</x:v>
      </x:c>
      <x:c r="B25" s="20" t="n">
        <x:v>2</x:v>
      </x:c>
      <x:c r="C25" s="20" t="str">
        <x:v>Chirp</x:v>
      </x:c>
      <x:c r="D25" s="20" t="n">
        <x:v>5</x:v>
      </x:c>
      <x:c r="E25" s="20" t="str">
        <x:v>8.1-10 Hz</x:v>
      </x:c>
      <x:c r="F25" s="20" t="str">
        <x:v>Craig-Bampton</x:v>
      </x:c>
      <x:c r="G25" s="20" t="n">
        <x:v>3</x:v>
      </x:c>
      <x:c r="H25" s="20" t="str">
        <x:v>NONE</x:v>
      </x:c>
      <x:c r="I25" s="20" t="str">
        <x:v>no_uniform_floor; nearest_historical_reported_only</x:v>
      </x:c>
      <x:c r="J25" s="49" t="n">
        <x:v>32.31</x:v>
      </x:c>
      <x:c r="K25" s="49" t="n">
        <x:v>40</x:v>
      </x:c>
      <x:c r="L25" s="28" t="str">
        <x:v>historical_[start,end)</x:v>
      </x:c>
      <x:c r="M25" s="28" t="n">
        <x:v>7874</x:v>
      </x:c>
      <x:c r="N25" s="29" t="n">
        <x:v>0.5112237699768124</x:v>
      </x:c>
      <x:c r="O25" s="29" t="n">
        <x:v>-34.5616666952421</x:v>
      </x:c>
      <x:c r="P25" s="29" t="n">
        <x:v>34.3263377263342</x:v>
      </x:c>
      <x:c r="Q25" s="29" t="n">
        <x:v>68.88800442157631</x:v>
      </x:c>
      <x:c r="R25" s="29" t="n">
        <x:v>0.007</x:v>
      </x:c>
      <x:c r="S25" s="43" t="n">
        <x:v>4</x:v>
      </x:c>
      <x:c r="T25" s="29" t="n">
        <x:v>0.011696723131378692</x:v>
      </x:c>
      <x:c r="U25" s="20" t="str">
        <x:v>第二类划分_Chirp响应.csv</x:v>
      </x:c>
      <x:c r="V25" s="20" t="str">
        <x:v>88919C2AFA4FC431EDB08772A1DCB091B6D8DC1445253C0A4D30334223040457</x:v>
      </x:c>
    </x:row>
    <x:row r="26">
      <x:c r="A26" s="20" t="str">
        <x:v>T3-3-D2-Chirp-B5-G</x:v>
      </x:c>
      <x:c r="B26" s="20" t="n">
        <x:v>2</x:v>
      </x:c>
      <x:c r="C26" s="20" t="str">
        <x:v>Chirp</x:v>
      </x:c>
      <x:c r="D26" s="20" t="n">
        <x:v>5</x:v>
      </x:c>
      <x:c r="E26" s="20" t="str">
        <x:v>8.1-10 Hz</x:v>
      </x:c>
      <x:c r="F26" s="20" t="str">
        <x:v>Guyan</x:v>
      </x:c>
      <x:c r="G26" s="20" t="n">
        <x:v>1</x:v>
      </x:c>
      <x:c r="H26" s="20" t="str">
        <x:v>NONE</x:v>
      </x:c>
      <x:c r="I26" s="20" t="str">
        <x:v>no_uniform_floor; nearest_historical_reported_only</x:v>
      </x:c>
      <x:c r="J26" s="49" t="n">
        <x:v>32.31</x:v>
      </x:c>
      <x:c r="K26" s="49" t="n">
        <x:v>40</x:v>
      </x:c>
      <x:c r="L26" s="28" t="str">
        <x:v>historical_[start,end)</x:v>
      </x:c>
      <x:c r="M26" s="28" t="n">
        <x:v>7874</x:v>
      </x:c>
      <x:c r="N26" s="29" t="n">
        <x:v>2231.092520108419</x:v>
      </x:c>
      <x:c r="O26" s="29" t="n">
        <x:v>-8.83495933787708</x:v>
      </x:c>
      <x:c r="P26" s="29" t="n">
        <x:v>8.80436597474335</x:v>
      </x:c>
      <x:c r="Q26" s="29" t="n">
        <x:v>17.63932531262043</x:v>
      </x:c>
      <x:c r="R26" s="29" t="n">
        <x:v>2.8127</x:v>
      </x:c>
      <x:c r="S26" s="43" t="n">
        <x:v>4</x:v>
      </x:c>
      <x:c r="T26" s="29" t="n">
        <x:v>3.0177212086320986</x:v>
      </x:c>
      <x:c r="U26" s="20" t="str">
        <x:v>第二类划分_Chirp响应.csv</x:v>
      </x:c>
      <x:c r="V26" s="20" t="str">
        <x:v>88919C2AFA4FC431EDB08772A1DCB091B6D8DC1445253C0A4D30334223040457</x:v>
      </x:c>
    </x:row>
    <x:row r="27">
      <x:c r="A27" s="20" t="str">
        <x:v>T3-3-D2-ElCentro-B0-CB</x:v>
      </x:c>
      <x:c r="B27" s="20" t="n">
        <x:v>2</x:v>
      </x:c>
      <x:c r="C27" s="20" t="str">
        <x:v>ElCentro</x:v>
      </x:c>
      <x:c r="D27" s="20" t="n">
        <x:v>0</x:v>
      </x:c>
      <x:c r="E27" s="20" t="str">
        <x:v>El Centro full</x:v>
      </x:c>
      <x:c r="F27" s="20" t="str">
        <x:v>Craig-Bampton</x:v>
      </x:c>
      <x:c r="G27" s="20" t="n">
        <x:v>3</x:v>
      </x:c>
      <x:c r="H27" s="20" t="str">
        <x:v>3</x:v>
      </x:c>
      <x:c r="I27" s="20" t="str">
        <x:v>group_inferred_uniform_floor</x:v>
      </x:c>
      <x:c r="J27" s="49" t="n">
        <x:v>0</x:v>
      </x:c>
      <x:c r="K27" s="49" t="n">
        <x:v>40</x:v>
      </x:c>
      <x:c r="L27" s="28" t="str">
        <x:v>all_samples</x:v>
      </x:c>
      <x:c r="M27" s="28" t="n">
        <x:v>40961</x:v>
      </x:c>
      <x:c r="N27" s="29" t="n">
        <x:v>1.806759586834862</x:v>
      </x:c>
      <x:c r="O27" s="29" t="n">
        <x:v>-12.0652440630115</x:v>
      </x:c>
      <x:c r="P27" s="29" t="n">
        <x:v>12.3511473035324</x:v>
      </x:c>
      <x:c r="Q27" s="29" t="n">
        <x:v>24.4163913665439</x:v>
      </x:c>
      <x:c r="R27" s="29" t="n">
        <x:v>0.0272</x:v>
      </x:c>
      <x:c r="S27" s="43" t="n">
        <x:v>4</x:v>
      </x:c>
      <x:c r="T27" s="29" t="n">
        <x:v>0.0272009098415715</x:v>
      </x:c>
      <x:c r="U27" s="20" t="str">
        <x:v>第二类划分_ElCentro地震响应.csv</x:v>
      </x:c>
      <x:c r="V27" s="20" t="str">
        <x:v>2899DFD2C03B22AAEE701C7E4B3B70E40D49668531BB6734FA6B52E8246B5E5D</x:v>
      </x:c>
    </x:row>
    <x:row r="28">
      <x:c r="A28" s="20" t="str">
        <x:v>T3-3-D2-ElCentro-B0-G</x:v>
      </x:c>
      <x:c r="B28" s="20" t="n">
        <x:v>2</x:v>
      </x:c>
      <x:c r="C28" s="20" t="str">
        <x:v>ElCentro</x:v>
      </x:c>
      <x:c r="D28" s="20" t="n">
        <x:v>0</x:v>
      </x:c>
      <x:c r="E28" s="20" t="str">
        <x:v>El Centro full</x:v>
      </x:c>
      <x:c r="F28" s="20" t="str">
        <x:v>Guyan</x:v>
      </x:c>
      <x:c r="G28" s="20" t="n">
        <x:v>3</x:v>
      </x:c>
      <x:c r="H28" s="20" t="str">
        <x:v>3</x:v>
      </x:c>
      <x:c r="I28" s="20" t="str">
        <x:v>group_inferred_uniform_floor</x:v>
      </x:c>
      <x:c r="J28" s="49" t="n">
        <x:v>0</x:v>
      </x:c>
      <x:c r="K28" s="49" t="n">
        <x:v>40</x:v>
      </x:c>
      <x:c r="L28" s="28" t="str">
        <x:v>all_samples</x:v>
      </x:c>
      <x:c r="M28" s="28" t="n">
        <x:v>40961</x:v>
      </x:c>
      <x:c r="N28" s="29" t="n">
        <x:v>292019.7329918591</x:v>
      </x:c>
      <x:c r="O28" s="29" t="n">
        <x:v>-12.0652440630115</x:v>
      </x:c>
      <x:c r="P28" s="29" t="n">
        <x:v>12.3511473035324</x:v>
      </x:c>
      <x:c r="Q28" s="29" t="n">
        <x:v>24.4163913665439</x:v>
      </x:c>
      <x:c r="R28" s="29" t="n">
        <x:v>10.9355</x:v>
      </x:c>
      <x:c r="S28" s="43" t="n">
        <x:v>4</x:v>
      </x:c>
      <x:c r="T28" s="29" t="n">
        <x:v>10.935517674042613</x:v>
      </x:c>
      <x:c r="U28" s="20" t="str">
        <x:v>第二类划分_ElCentro地震响应.csv</x:v>
      </x:c>
      <x:c r="V28" s="20" t="str">
        <x:v>2899DFD2C03B22AAEE701C7E4B3B70E40D49668531BB6734FA6B52E8246B5E5D</x:v>
      </x:c>
    </x:row>
  </x:sheetData>
  <x:mergeCells>
    <x:mergeCell ref="A1:V1"/>
    <x:mergeCell ref="A2:V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" hidden="0" customWidth="1"/>
    <x:col min="3" max="3" width="12" hidden="0" customWidth="1"/>
    <x:col min="4" max="4" width="18" hidden="0" customWidth="1"/>
    <x:col min="5" max="5" width="18" hidden="0" customWidth="1"/>
    <x:col min="6" max="6" width="8" hidden="0" customWidth="1"/>
    <x:col min="7" max="7" width="35" hidden="0" customWidth="1"/>
    <x:col min="8" max="8" width="11" hidden="0" customWidth="1"/>
    <x:col min="9" max="9" width="20" hidden="0" customWidth="1"/>
    <x:col min="10" max="10" width="18" hidden="0" customWidth="1"/>
    <x:col min="11" max="11" width="18" hidden="0" customWidth="1"/>
    <x:col min="12" max="12" width="13" hidden="0" customWidth="1"/>
    <x:col min="13" max="13" width="9" hidden="0" customWidth="1"/>
    <x:col min="14" max="14" width="15" hidden="0" customWidth="1"/>
    <x:col min="15" max="15" width="15" hidden="0" customWidth="1"/>
    <x:col min="16" max="16" width="12" hidden="0" customWidth="1"/>
    <x:col min="17" max="17" width="18" hidden="0" customWidth="1"/>
    <x:col min="18" max="18" width="16" hidden="0" customWidth="1"/>
    <x:col min="19" max="19" width="40" hidden="0" customWidth="1"/>
    <x:col min="20" max="20" width="30" hidden="0" customWidth="1"/>
    <x:col min="21" max="21" width="9" hidden="0" customWidth="1"/>
  </x:cols>
  <x:sheetData>
    <x:row r="1" ht="30" customHeight="1">
      <x:c r="A1" s="3" t="str">
        <x:v>表3-3逐单元格公式计算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36" customHeight="1">
      <x:c r="A2" s="7" t="str">
        <x:v>K列公式：100×sqrt(误差平方和/样本数)/参考峰峰值。第二类Chirp的“报告楼层”仅是最近历史值展示，不代表路线闭合。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</x:row>
    <x:row r="4" ht="34" customHeight="1">
      <x:c r="A4" s="17" t="str">
        <x:v>单元格ID</x:v>
      </x:c>
      <x:c r="B4" s="17" t="str">
        <x:v>划分</x:v>
      </x:c>
      <x:c r="C4" s="17" t="str">
        <x:v>激励</x:v>
      </x:c>
      <x:c r="D4" s="17" t="str">
        <x:v>频段</x:v>
      </x:c>
      <x:c r="E4" s="17" t="str">
        <x:v>方法</x:v>
      </x:c>
      <x:c r="F4" s="17" t="str">
        <x:v>楼层</x:v>
      </x:c>
      <x:c r="G4" s="17" t="str">
        <x:v>选择依据</x:v>
      </x:c>
      <x:c r="H4" s="17" t="str">
        <x:v>样本数</x:v>
      </x:c>
      <x:c r="I4" s="17" t="str">
        <x:v>误差平方和/mm²</x:v>
      </x:c>
      <x:c r="J4" s="17" t="str">
        <x:v>参考峰峰值/mm</x:v>
      </x:c>
      <x:c r="K4" s="17" t="str">
        <x:v>工作簿NRMSE/%</x:v>
      </x:c>
      <x:c r="L4" s="17" t="str">
        <x:v>论文值/%</x:v>
      </x:c>
      <x:c r="M4" s="17" t="str">
        <x:v>小数位</x:v>
      </x:c>
      <x:c r="N4" s="17" t="str">
        <x:v>工作簿舍入</x:v>
      </x:c>
      <x:c r="O4" s="17" t="str">
        <x:v>绝对差/%</x:v>
      </x:c>
      <x:c r="P4" s="17" t="str">
        <x:v>末位匹配</x:v>
      </x:c>
      <x:c r="Q4" s="17" t="str">
        <x:v>Python独立值/%</x:v>
      </x:c>
      <x:c r="R4" s="17" t="str">
        <x:v>公式-Python差</x:v>
      </x:c>
      <x:c r="S4" s="17" t="str">
        <x:v>证据等级</x:v>
      </x:c>
      <x:c r="T4" s="17" t="str">
        <x:v>输入源</x:v>
      </x:c>
      <x:c r="U4" s="17" t="str">
        <x:v>记录数</x:v>
      </x:c>
    </x:row>
    <x:row r="5">
      <x:c r="A5" s="28" t="str">
        <x:f>'NRMSE聚合输入'!A5</x:f>
        <x:v>T3-3-D1-Chirp-B1-CB</x:v>
      </x:c>
      <x:c r="B5" s="28" t="n">
        <x:f>'NRMSE聚合输入'!B5</x:f>
        <x:v>1</x:v>
      </x:c>
      <x:c r="C5" s="28" t="str">
        <x:f>'NRMSE聚合输入'!C5</x:f>
        <x:v>Chirp</x:v>
      </x:c>
      <x:c r="D5" s="28" t="str">
        <x:f>'NRMSE聚合输入'!E5</x:f>
        <x:v>0.1-1.9 Hz</x:v>
      </x:c>
      <x:c r="E5" s="28" t="str">
        <x:f>'NRMSE聚合输入'!F5</x:f>
        <x:v>Craig-Bampton</x:v>
      </x:c>
      <x:c r="F5" s="28" t="n">
        <x:f>'NRMSE聚合输入'!G5</x:f>
        <x:v>2</x:v>
      </x:c>
      <x:c r="G5" s="28" t="str">
        <x:f>'NRMSE聚合输入'!I5</x:f>
        <x:v>group_inferred_uniform_floor</x:v>
      </x:c>
      <x:c r="H5" s="43" t="n">
        <x:f>'NRMSE聚合输入'!M5</x:f>
        <x:v>7445</x:v>
      </x:c>
      <x:c r="I5" s="29" t="n">
        <x:f>'NRMSE聚合输入'!N5</x:f>
        <x:v>0.000004201807074096921</x:v>
      </x:c>
      <x:c r="J5" s="29" t="n">
        <x:f>'NRMSE聚合输入'!Q5</x:f>
        <x:v>46.3440814316444</x:v>
      </x:c>
      <x:c r="K5" s="40" t="n">
        <x:f>100*SQRT(I5/H5)/J5</x:f>
        <x:v>0.00005126151346441519</x:v>
      </x:c>
      <x:c r="L5" s="29" t="n">
        <x:f>'NRMSE聚合输入'!R5</x:f>
        <x:v>0.00005</x:v>
      </x:c>
      <x:c r="M5" s="43" t="n">
        <x:f>'NRMSE聚合输入'!S5</x:f>
        <x:v>5</x:v>
      </x:c>
      <x:c r="N5" s="40" t="n">
        <x:f>ROUND(K5,M5)</x:f>
        <x:v>0.00005</x:v>
      </x:c>
      <x:c r="O5" s="40" t="n">
        <x:f>ABS(K5-L5)</x:f>
        <x:v>0.0000012615134644151853</x:v>
      </x:c>
      <x:c r="P5" s="44" t="n">
        <x:f>IF(ABS(N5-L5)&lt;='论文合同'!$B$5,1,0)</x:f>
        <x:v>1</x:v>
      </x:c>
      <x:c r="Q5" s="40" t="n">
        <x:f>'NRMSE聚合输入'!T5</x:f>
        <x:v>0.00005126151346441519</x:v>
      </x:c>
      <x:c r="R5" s="40" t="n">
        <x:f>ABS(K5-Q5)</x:f>
        <x:v>0</x:v>
      </x:c>
      <x:c r="S5" s="20" t="str">
        <x:v>计算级复现（当前冻结响应+历史脚本口径；作者历史逐点数组待决定）</x:v>
      </x:c>
      <x:c r="T5" s="20" t="str">
        <x:v>第一类划分_Chirp响应.csv</x:v>
      </x:c>
      <x:c r="U5" s="46" t="n">
        <x:v>1</x:v>
      </x:c>
    </x:row>
    <x:row r="6">
      <x:c r="A6" s="28" t="str">
        <x:f>'NRMSE聚合输入'!A6</x:f>
        <x:v>T3-3-D1-Chirp-B1-G</x:v>
      </x:c>
      <x:c r="B6" s="28" t="n">
        <x:f>'NRMSE聚合输入'!B6</x:f>
        <x:v>1</x:v>
      </x:c>
      <x:c r="C6" s="28" t="str">
        <x:f>'NRMSE聚合输入'!C6</x:f>
        <x:v>Chirp</x:v>
      </x:c>
      <x:c r="D6" s="28" t="str">
        <x:f>'NRMSE聚合输入'!E6</x:f>
        <x:v>0.1-1.9 Hz</x:v>
      </x:c>
      <x:c r="E6" s="28" t="str">
        <x:f>'NRMSE聚合输入'!F6</x:f>
        <x:v>Guyan</x:v>
      </x:c>
      <x:c r="F6" s="28" t="n">
        <x:f>'NRMSE聚合输入'!G6</x:f>
        <x:v>2</x:v>
      </x:c>
      <x:c r="G6" s="28" t="str">
        <x:f>'NRMSE聚合输入'!I6</x:f>
        <x:v>group_inferred_uniform_floor</x:v>
      </x:c>
      <x:c r="H6" s="43" t="n">
        <x:f>'NRMSE聚合输入'!M6</x:f>
        <x:v>7445</x:v>
      </x:c>
      <x:c r="I6" s="29" t="n">
        <x:f>'NRMSE聚合输入'!N6</x:f>
        <x:v>1.3923162664756121</x:v>
      </x:c>
      <x:c r="J6" s="29" t="n">
        <x:f>'NRMSE聚合输入'!Q6</x:f>
        <x:v>46.3440814316444</x:v>
      </x:c>
      <x:c r="K6" s="40" t="n">
        <x:f>100*SQRT(I6/H6)/J6</x:f>
        <x:v>0.02950817285837224</x:v>
      </x:c>
      <x:c r="L6" s="29" t="n">
        <x:f>'NRMSE聚合输入'!R6</x:f>
        <x:v>0.0295</x:v>
      </x:c>
      <x:c r="M6" s="43" t="n">
        <x:f>'NRMSE聚合输入'!S6</x:f>
        <x:v>4</x:v>
      </x:c>
      <x:c r="N6" s="40" t="n">
        <x:f>ROUND(K6,M6)</x:f>
        <x:v>0.0295</x:v>
      </x:c>
      <x:c r="O6" s="40" t="n">
        <x:f>ABS(K6-L6)</x:f>
        <x:v>0.000008172858372242076</x:v>
      </x:c>
      <x:c r="P6" s="44" t="n">
        <x:f>IF(ABS(N6-L6)&lt;='论文合同'!$B$5,1,0)</x:f>
        <x:v>1</x:v>
      </x:c>
      <x:c r="Q6" s="40" t="n">
        <x:f>'NRMSE聚合输入'!T6</x:f>
        <x:v>0.02950817285837224</x:v>
      </x:c>
      <x:c r="R6" s="40" t="n">
        <x:f>ABS(K6-Q6)</x:f>
        <x:v>0</x:v>
      </x:c>
      <x:c r="S6" s="20" t="str">
        <x:v>计算级复现（当前冻结响应+历史脚本口径；作者历史逐点数组待决定）</x:v>
      </x:c>
      <x:c r="T6" s="20" t="str">
        <x:v>第一类划分_Chirp响应.csv</x:v>
      </x:c>
      <x:c r="U6" s="46" t="n">
        <x:v>1</x:v>
      </x:c>
    </x:row>
    <x:row r="7">
      <x:c r="A7" s="28" t="str">
        <x:f>'NRMSE聚合输入'!A7</x:f>
        <x:v>T3-3-D1-Chirp-B2-CB</x:v>
      </x:c>
      <x:c r="B7" s="28" t="n">
        <x:f>'NRMSE聚合输入'!B7</x:f>
        <x:v>1</x:v>
      </x:c>
      <x:c r="C7" s="28" t="str">
        <x:f>'NRMSE聚合输入'!C7</x:f>
        <x:v>Chirp</x:v>
      </x:c>
      <x:c r="D7" s="28" t="str">
        <x:f>'NRMSE聚合输入'!E7</x:f>
        <x:v>1.9-3.5 Hz</x:v>
      </x:c>
      <x:c r="E7" s="28" t="str">
        <x:f>'NRMSE聚合输入'!F7</x:f>
        <x:v>Craig-Bampton</x:v>
      </x:c>
      <x:c r="F7" s="28" t="n">
        <x:f>'NRMSE聚合输入'!G7</x:f>
        <x:v>2</x:v>
      </x:c>
      <x:c r="G7" s="28" t="str">
        <x:f>'NRMSE聚合输入'!I7</x:f>
        <x:v>group_inferred_uniform_floor</x:v>
      </x:c>
      <x:c r="H7" s="43" t="n">
        <x:f>'NRMSE聚合输入'!M7</x:f>
        <x:v>6615</x:v>
      </x:c>
      <x:c r="I7" s="29" t="n">
        <x:f>'NRMSE聚合输入'!N7</x:f>
        <x:v>0.08897942590030741</x:v>
      </x:c>
      <x:c r="J7" s="29" t="n">
        <x:f>'NRMSE聚合输入'!Q7</x:f>
        <x:v>46.3440814316444</x:v>
      </x:c>
      <x:c r="K7" s="40" t="n">
        <x:f>100*SQRT(I7/H7)/J7</x:f>
        <x:v>0.007913809591530192</x:v>
      </x:c>
      <x:c r="L7" s="29" t="n">
        <x:f>'NRMSE聚合输入'!R7</x:f>
        <x:v>0.0079</x:v>
      </x:c>
      <x:c r="M7" s="43" t="n">
        <x:f>'NRMSE聚合输入'!S7</x:f>
        <x:v>4</x:v>
      </x:c>
      <x:c r="N7" s="40" t="n">
        <x:f>ROUND(K7,M7)</x:f>
        <x:v>0.0079</x:v>
      </x:c>
      <x:c r="O7" s="40" t="n">
        <x:f>ABS(K7-L7)</x:f>
        <x:v>0.000013809591530191193</x:v>
      </x:c>
      <x:c r="P7" s="44" t="n">
        <x:f>IF(ABS(N7-L7)&lt;='论文合同'!$B$5,1,0)</x:f>
        <x:v>1</x:v>
      </x:c>
      <x:c r="Q7" s="40" t="n">
        <x:f>'NRMSE聚合输入'!T7</x:f>
        <x:v>0.007913809591530192</x:v>
      </x:c>
      <x:c r="R7" s="40" t="n">
        <x:f>ABS(K7-Q7)</x:f>
        <x:v>0</x:v>
      </x:c>
      <x:c r="S7" s="20" t="str">
        <x:v>计算级复现（当前冻结响应+历史脚本口径；作者历史逐点数组待决定）</x:v>
      </x:c>
      <x:c r="T7" s="20" t="str">
        <x:v>第一类划分_Chirp响应.csv</x:v>
      </x:c>
      <x:c r="U7" s="46" t="n">
        <x:v>1</x:v>
      </x:c>
    </x:row>
    <x:row r="8">
      <x:c r="A8" s="28" t="str">
        <x:f>'NRMSE聚合输入'!A8</x:f>
        <x:v>T3-3-D1-Chirp-B2-G</x:v>
      </x:c>
      <x:c r="B8" s="28" t="n">
        <x:f>'NRMSE聚合输入'!B8</x:f>
        <x:v>1</x:v>
      </x:c>
      <x:c r="C8" s="28" t="str">
        <x:f>'NRMSE聚合输入'!C8</x:f>
        <x:v>Chirp</x:v>
      </x:c>
      <x:c r="D8" s="28" t="str">
        <x:f>'NRMSE聚合输入'!E8</x:f>
        <x:v>1.9-3.5 Hz</x:v>
      </x:c>
      <x:c r="E8" s="28" t="str">
        <x:f>'NRMSE聚合输入'!F8</x:f>
        <x:v>Guyan</x:v>
      </x:c>
      <x:c r="F8" s="28" t="n">
        <x:f>'NRMSE聚合输入'!G8</x:f>
        <x:v>2</x:v>
      </x:c>
      <x:c r="G8" s="28" t="str">
        <x:f>'NRMSE聚合输入'!I8</x:f>
        <x:v>group_inferred_uniform_floor</x:v>
      </x:c>
      <x:c r="H8" s="43" t="n">
        <x:f>'NRMSE聚合输入'!M8</x:f>
        <x:v>6615</x:v>
      </x:c>
      <x:c r="I8" s="29" t="n">
        <x:f>'NRMSE聚合输入'!N8</x:f>
        <x:v>5654.654808434512</x:v>
      </x:c>
      <x:c r="J8" s="29" t="n">
        <x:f>'NRMSE聚合输入'!Q8</x:f>
        <x:v>46.3440814316444</x:v>
      </x:c>
      <x:c r="K8" s="40" t="n">
        <x:f>100*SQRT(I8/H8)/J8</x:f>
        <x:v>1.9950043468963203</x:v>
      </x:c>
      <x:c r="L8" s="29" t="n">
        <x:f>'NRMSE聚合输入'!R8</x:f>
        <x:v>1.995</x:v>
      </x:c>
      <x:c r="M8" s="43" t="n">
        <x:f>'NRMSE聚合输入'!S8</x:f>
        <x:v>4</x:v>
      </x:c>
      <x:c r="N8" s="40" t="n">
        <x:f>ROUND(K8,M8)</x:f>
        <x:v>1.995</x:v>
      </x:c>
      <x:c r="O8" s="40" t="n">
        <x:f>ABS(K8-L8)</x:f>
        <x:v>0.000004346896320228666</x:v>
      </x:c>
      <x:c r="P8" s="44" t="n">
        <x:f>IF(ABS(N8-L8)&lt;='论文合同'!$B$5,1,0)</x:f>
        <x:v>1</x:v>
      </x:c>
      <x:c r="Q8" s="40" t="n">
        <x:f>'NRMSE聚合输入'!T8</x:f>
        <x:v>1.9950043468963203</x:v>
      </x:c>
      <x:c r="R8" s="40" t="n">
        <x:f>ABS(K8-Q8)</x:f>
        <x:v>0</x:v>
      </x:c>
      <x:c r="S8" s="20" t="str">
        <x:v>计算级复现（当前冻结响应+历史脚本口径；作者历史逐点数组待决定）</x:v>
      </x:c>
      <x:c r="T8" s="20" t="str">
        <x:v>第一类划分_Chirp响应.csv</x:v>
      </x:c>
      <x:c r="U8" s="46" t="n">
        <x:v>1</x:v>
      </x:c>
    </x:row>
    <x:row r="9">
      <x:c r="A9" s="28" t="str">
        <x:f>'NRMSE聚合输入'!A9</x:f>
        <x:v>T3-3-D1-Chirp-B3-CB</x:v>
      </x:c>
      <x:c r="B9" s="28" t="n">
        <x:f>'NRMSE聚合输入'!B9</x:f>
        <x:v>1</x:v>
      </x:c>
      <x:c r="C9" s="28" t="str">
        <x:f>'NRMSE聚合输入'!C9</x:f>
        <x:v>Chirp</x:v>
      </x:c>
      <x:c r="D9" s="28" t="str">
        <x:f>'NRMSE聚合输入'!E9</x:f>
        <x:v>3.5-5.4 Hz</x:v>
      </x:c>
      <x:c r="E9" s="28" t="str">
        <x:f>'NRMSE聚合输入'!F9</x:f>
        <x:v>Craig-Bampton</x:v>
      </x:c>
      <x:c r="F9" s="28" t="n">
        <x:f>'NRMSE聚合输入'!G9</x:f>
        <x:v>2</x:v>
      </x:c>
      <x:c r="G9" s="28" t="str">
        <x:f>'NRMSE聚合输入'!I9</x:f>
        <x:v>group_inferred_uniform_floor</x:v>
      </x:c>
      <x:c r="H9" s="43" t="n">
        <x:f>'NRMSE聚合输入'!M9</x:f>
        <x:v>7854</x:v>
      </x:c>
      <x:c r="I9" s="29" t="n">
        <x:f>'NRMSE聚合输入'!N9</x:f>
        <x:v>0.011003836704653061</x:v>
      </x:c>
      <x:c r="J9" s="29" t="n">
        <x:f>'NRMSE聚合输入'!Q9</x:f>
        <x:v>46.3440814316444</x:v>
      </x:c>
      <x:c r="K9" s="40" t="n">
        <x:f>100*SQRT(I9/H9)/J9</x:f>
        <x:v>0.0025540673270155407</x:v>
      </x:c>
      <x:c r="L9" s="29" t="n">
        <x:f>'NRMSE聚合输入'!R9</x:f>
        <x:v>0.0026</x:v>
      </x:c>
      <x:c r="M9" s="43" t="n">
        <x:f>'NRMSE聚合输入'!S9</x:f>
        <x:v>4</x:v>
      </x:c>
      <x:c r="N9" s="40" t="n">
        <x:f>ROUND(K9,M9)</x:f>
        <x:v>0.0026</x:v>
      </x:c>
      <x:c r="O9" s="40" t="n">
        <x:f>ABS(K9-L9)</x:f>
        <x:v>0.00004593267298445922</x:v>
      </x:c>
      <x:c r="P9" s="44" t="n">
        <x:f>IF(ABS(N9-L9)&lt;='论文合同'!$B$5,1,0)</x:f>
        <x:v>1</x:v>
      </x:c>
      <x:c r="Q9" s="40" t="n">
        <x:f>'NRMSE聚合输入'!T9</x:f>
        <x:v>0.0025540673270155407</x:v>
      </x:c>
      <x:c r="R9" s="40" t="n">
        <x:f>ABS(K9-Q9)</x:f>
        <x:v>0</x:v>
      </x:c>
      <x:c r="S9" s="20" t="str">
        <x:v>计算级复现（当前冻结响应+历史脚本口径；作者历史逐点数组待决定）</x:v>
      </x:c>
      <x:c r="T9" s="20" t="str">
        <x:v>第一类划分_Chirp响应.csv</x:v>
      </x:c>
      <x:c r="U9" s="46" t="n">
        <x:v>1</x:v>
      </x:c>
    </x:row>
    <x:row r="10">
      <x:c r="A10" s="28" t="str">
        <x:f>'NRMSE聚合输入'!A10</x:f>
        <x:v>T3-3-D1-Chirp-B3-G</x:v>
      </x:c>
      <x:c r="B10" s="28" t="n">
        <x:f>'NRMSE聚合输入'!B10</x:f>
        <x:v>1</x:v>
      </x:c>
      <x:c r="C10" s="28" t="str">
        <x:f>'NRMSE聚合输入'!C10</x:f>
        <x:v>Chirp</x:v>
      </x:c>
      <x:c r="D10" s="28" t="str">
        <x:f>'NRMSE聚合输入'!E10</x:f>
        <x:v>3.5-5.4 Hz</x:v>
      </x:c>
      <x:c r="E10" s="28" t="str">
        <x:f>'NRMSE聚合输入'!F10</x:f>
        <x:v>Guyan</x:v>
      </x:c>
      <x:c r="F10" s="28" t="n">
        <x:f>'NRMSE聚合输入'!G10</x:f>
        <x:v>2</x:v>
      </x:c>
      <x:c r="G10" s="28" t="str">
        <x:f>'NRMSE聚合输入'!I10</x:f>
        <x:v>group_inferred_uniform_floor</x:v>
      </x:c>
      <x:c r="H10" s="43" t="n">
        <x:f>'NRMSE聚合输入'!M10</x:f>
        <x:v>7854</x:v>
      </x:c>
      <x:c r="I10" s="29" t="n">
        <x:f>'NRMSE聚合输入'!N10</x:f>
        <x:v>653.6118036288254</x:v>
      </x:c>
      <x:c r="J10" s="29" t="n">
        <x:f>'NRMSE聚合输入'!Q10</x:f>
        <x:v>46.3440814316444</x:v>
      </x:c>
      <x:c r="K10" s="40" t="n">
        <x:f>100*SQRT(I10/H10)/J10</x:f>
        <x:v>0.6224725667504947</x:v>
      </x:c>
      <x:c r="L10" s="29" t="n">
        <x:f>'NRMSE聚合输入'!R10</x:f>
        <x:v>0.6225</x:v>
      </x:c>
      <x:c r="M10" s="43" t="n">
        <x:f>'NRMSE聚合输入'!S10</x:f>
        <x:v>4</x:v>
      </x:c>
      <x:c r="N10" s="40" t="n">
        <x:f>ROUND(K10,M10)</x:f>
        <x:v>0.6225</x:v>
      </x:c>
      <x:c r="O10" s="40" t="n">
        <x:f>ABS(K10-L10)</x:f>
        <x:v>0.00002743324950538195</x:v>
      </x:c>
      <x:c r="P10" s="44" t="n">
        <x:f>IF(ABS(N10-L10)&lt;='论文合同'!$B$5,1,0)</x:f>
        <x:v>1</x:v>
      </x:c>
      <x:c r="Q10" s="40" t="n">
        <x:f>'NRMSE聚合输入'!T10</x:f>
        <x:v>0.6224725667504947</x:v>
      </x:c>
      <x:c r="R10" s="40" t="n">
        <x:f>ABS(K10-Q10)</x:f>
        <x:v>0</x:v>
      </x:c>
      <x:c r="S10" s="20" t="str">
        <x:v>计算级复现（当前冻结响应+历史脚本口径；作者历史逐点数组待决定）</x:v>
      </x:c>
      <x:c r="T10" s="20" t="str">
        <x:v>第一类划分_Chirp响应.csv</x:v>
      </x:c>
      <x:c r="U10" s="46" t="n">
        <x:v>1</x:v>
      </x:c>
    </x:row>
    <x:row r="11">
      <x:c r="A11" s="28" t="str">
        <x:f>'NRMSE聚合输入'!A11</x:f>
        <x:v>T3-3-D1-Chirp-B4-CB</x:v>
      </x:c>
      <x:c r="B11" s="28" t="n">
        <x:f>'NRMSE聚合输入'!B11</x:f>
        <x:v>1</x:v>
      </x:c>
      <x:c r="C11" s="28" t="str">
        <x:f>'NRMSE聚合输入'!C11</x:f>
        <x:v>Chirp</x:v>
      </x:c>
      <x:c r="D11" s="28" t="str">
        <x:f>'NRMSE聚合输入'!E11</x:f>
        <x:v>5.4-8.1 Hz</x:v>
      </x:c>
      <x:c r="E11" s="28" t="str">
        <x:f>'NRMSE聚合输入'!F11</x:f>
        <x:v>Craig-Bampton</x:v>
      </x:c>
      <x:c r="F11" s="28" t="n">
        <x:f>'NRMSE聚合输入'!G11</x:f>
        <x:v>2</x:v>
      </x:c>
      <x:c r="G11" s="28" t="str">
        <x:f>'NRMSE聚合输入'!I11</x:f>
        <x:v>group_inferred_uniform_floor</x:v>
      </x:c>
      <x:c r="H11" s="43" t="n">
        <x:f>'NRMSE聚合输入'!M11</x:f>
        <x:v>11172</x:v>
      </x:c>
      <x:c r="I11" s="29" t="n">
        <x:f>'NRMSE聚合输入'!N11</x:f>
        <x:v>0.01939006619219027</x:v>
      </x:c>
      <x:c r="J11" s="29" t="n">
        <x:f>'NRMSE聚合输入'!Q11</x:f>
        <x:v>46.3440814316444</x:v>
      </x:c>
      <x:c r="K11" s="40" t="n">
        <x:f>100*SQRT(I11/H11)/J11</x:f>
        <x:v>0.0028426926310600115</x:v>
      </x:c>
      <x:c r="L11" s="29" t="n">
        <x:f>'NRMSE聚合输入'!R11</x:f>
        <x:v>0.0028</x:v>
      </x:c>
      <x:c r="M11" s="43" t="n">
        <x:f>'NRMSE聚合输入'!S11</x:f>
        <x:v>4</x:v>
      </x:c>
      <x:c r="N11" s="40" t="n">
        <x:f>ROUND(K11,M11)</x:f>
        <x:v>0.0028</x:v>
      </x:c>
      <x:c r="O11" s="40" t="n">
        <x:f>ABS(K11-L11)</x:f>
        <x:v>0.00004269263106001153</x:v>
      </x:c>
      <x:c r="P11" s="44" t="n">
        <x:f>IF(ABS(N11-L11)&lt;='论文合同'!$B$5,1,0)</x:f>
        <x:v>1</x:v>
      </x:c>
      <x:c r="Q11" s="40" t="n">
        <x:f>'NRMSE聚合输入'!T11</x:f>
        <x:v>0.0028426926310600115</x:v>
      </x:c>
      <x:c r="R11" s="40" t="n">
        <x:f>ABS(K11-Q11)</x:f>
        <x:v>0</x:v>
      </x:c>
      <x:c r="S11" s="20" t="str">
        <x:v>计算级复现（当前冻结响应+历史脚本口径；作者历史逐点数组待决定）</x:v>
      </x:c>
      <x:c r="T11" s="20" t="str">
        <x:v>第一类划分_Chirp响应.csv</x:v>
      </x:c>
      <x:c r="U11" s="46" t="n">
        <x:v>1</x:v>
      </x:c>
    </x:row>
    <x:row r="12">
      <x:c r="A12" s="28" t="str">
        <x:f>'NRMSE聚合输入'!A12</x:f>
        <x:v>T3-3-D1-Chirp-B4-G</x:v>
      </x:c>
      <x:c r="B12" s="28" t="n">
        <x:f>'NRMSE聚合输入'!B12</x:f>
        <x:v>1</x:v>
      </x:c>
      <x:c r="C12" s="28" t="str">
        <x:f>'NRMSE聚合输入'!C12</x:f>
        <x:v>Chirp</x:v>
      </x:c>
      <x:c r="D12" s="28" t="str">
        <x:f>'NRMSE聚合输入'!E12</x:f>
        <x:v>5.4-8.1 Hz</x:v>
      </x:c>
      <x:c r="E12" s="28" t="str">
        <x:f>'NRMSE聚合输入'!F12</x:f>
        <x:v>Guyan</x:v>
      </x:c>
      <x:c r="F12" s="28" t="n">
        <x:f>'NRMSE聚合输入'!G12</x:f>
        <x:v>2</x:v>
      </x:c>
      <x:c r="G12" s="28" t="str">
        <x:f>'NRMSE聚合输入'!I12</x:f>
        <x:v>group_inferred_uniform_floor</x:v>
      </x:c>
      <x:c r="H12" s="43" t="n">
        <x:f>'NRMSE聚合输入'!M12</x:f>
        <x:v>11172</x:v>
      </x:c>
      <x:c r="I12" s="29" t="n">
        <x:f>'NRMSE聚合输入'!N12</x:f>
        <x:v>13.994926759159508</x:v>
      </x:c>
      <x:c r="J12" s="29" t="n">
        <x:f>'NRMSE聚合输入'!Q12</x:f>
        <x:v>46.3440814316444</x:v>
      </x:c>
      <x:c r="K12" s="40" t="n">
        <x:f>100*SQRT(I12/H12)/J12</x:f>
        <x:v>0.07637048926060054</x:v>
      </x:c>
      <x:c r="L12" s="29" t="n">
        <x:f>'NRMSE聚合输入'!R12</x:f>
        <x:v>0.0764</x:v>
      </x:c>
      <x:c r="M12" s="43" t="n">
        <x:f>'NRMSE聚合输入'!S12</x:f>
        <x:v>4</x:v>
      </x:c>
      <x:c r="N12" s="40" t="n">
        <x:f>ROUND(K12,M12)</x:f>
        <x:v>0.0764</x:v>
      </x:c>
      <x:c r="O12" s="40" t="n">
        <x:f>ABS(K12-L12)</x:f>
        <x:v>0.00002951073939945481</x:v>
      </x:c>
      <x:c r="P12" s="44" t="n">
        <x:f>IF(ABS(N12-L12)&lt;='论文合同'!$B$5,1,0)</x:f>
        <x:v>1</x:v>
      </x:c>
      <x:c r="Q12" s="40" t="n">
        <x:f>'NRMSE聚合输入'!T12</x:f>
        <x:v>0.07637048926060054</x:v>
      </x:c>
      <x:c r="R12" s="40" t="n">
        <x:f>ABS(K12-Q12)</x:f>
        <x:v>0</x:v>
      </x:c>
      <x:c r="S12" s="20" t="str">
        <x:v>计算级复现（当前冻结响应+历史脚本口径；作者历史逐点数组待决定）</x:v>
      </x:c>
      <x:c r="T12" s="20" t="str">
        <x:v>第一类划分_Chirp响应.csv</x:v>
      </x:c>
      <x:c r="U12" s="46" t="n">
        <x:v>1</x:v>
      </x:c>
    </x:row>
    <x:row r="13">
      <x:c r="A13" s="28" t="str">
        <x:f>'NRMSE聚合输入'!A13</x:f>
        <x:v>T3-3-D1-Chirp-B5-CB</x:v>
      </x:c>
      <x:c r="B13" s="28" t="n">
        <x:f>'NRMSE聚合输入'!B13</x:f>
        <x:v>1</x:v>
      </x:c>
      <x:c r="C13" s="28" t="str">
        <x:f>'NRMSE聚合输入'!C13</x:f>
        <x:v>Chirp</x:v>
      </x:c>
      <x:c r="D13" s="28" t="str">
        <x:f>'NRMSE聚合输入'!E13</x:f>
        <x:v>8.1-10 Hz</x:v>
      </x:c>
      <x:c r="E13" s="28" t="str">
        <x:f>'NRMSE聚合输入'!F13</x:f>
        <x:v>Craig-Bampton</x:v>
      </x:c>
      <x:c r="F13" s="28" t="n">
        <x:f>'NRMSE聚合输入'!G13</x:f>
        <x:v>2</x:v>
      </x:c>
      <x:c r="G13" s="28" t="str">
        <x:f>'NRMSE聚合输入'!I13</x:f>
        <x:v>group_inferred_uniform_floor</x:v>
      </x:c>
      <x:c r="H13" s="43" t="n">
        <x:f>'NRMSE聚合输入'!M13</x:f>
        <x:v>7874</x:v>
      </x:c>
      <x:c r="I13" s="29" t="n">
        <x:f>'NRMSE聚合输入'!N13</x:f>
        <x:v>4.317458111028345</x:v>
      </x:c>
      <x:c r="J13" s="29" t="n">
        <x:f>'NRMSE聚合输入'!Q13</x:f>
        <x:v>46.3440814316444</x:v>
      </x:c>
      <x:c r="K13" s="40" t="n">
        <x:f>100*SQRT(I13/H13)/J13</x:f>
        <x:v>0.05052683355777134</x:v>
      </x:c>
      <x:c r="L13" s="29" t="n">
        <x:f>'NRMSE聚合输入'!R13</x:f>
        <x:v>0.0505</x:v>
      </x:c>
      <x:c r="M13" s="43" t="n">
        <x:f>'NRMSE聚合输入'!S13</x:f>
        <x:v>4</x:v>
      </x:c>
      <x:c r="N13" s="40" t="n">
        <x:f>ROUND(K13,M13)</x:f>
        <x:v>0.0505</x:v>
      </x:c>
      <x:c r="O13" s="40" t="n">
        <x:f>ABS(K13-L13)</x:f>
        <x:v>0.000026833557771339944</x:v>
      </x:c>
      <x:c r="P13" s="44" t="n">
        <x:f>IF(ABS(N13-L13)&lt;='论文合同'!$B$5,1,0)</x:f>
        <x:v>1</x:v>
      </x:c>
      <x:c r="Q13" s="40" t="n">
        <x:f>'NRMSE聚合输入'!T13</x:f>
        <x:v>0.05052683355777134</x:v>
      </x:c>
      <x:c r="R13" s="40" t="n">
        <x:f>ABS(K13-Q13)</x:f>
        <x:v>0</x:v>
      </x:c>
      <x:c r="S13" s="20" t="str">
        <x:v>计算级复现（当前冻结响应+历史脚本口径；作者历史逐点数组待决定）</x:v>
      </x:c>
      <x:c r="T13" s="20" t="str">
        <x:v>第一类划分_Chirp响应.csv</x:v>
      </x:c>
      <x:c r="U13" s="46" t="n">
        <x:v>1</x:v>
      </x:c>
    </x:row>
    <x:row r="14">
      <x:c r="A14" s="28" t="str">
        <x:f>'NRMSE聚合输入'!A14</x:f>
        <x:v>T3-3-D1-Chirp-B5-G</x:v>
      </x:c>
      <x:c r="B14" s="28" t="n">
        <x:f>'NRMSE聚合输入'!B14</x:f>
        <x:v>1</x:v>
      </x:c>
      <x:c r="C14" s="28" t="str">
        <x:f>'NRMSE聚合输入'!C14</x:f>
        <x:v>Chirp</x:v>
      </x:c>
      <x:c r="D14" s="28" t="str">
        <x:f>'NRMSE聚合输入'!E14</x:f>
        <x:v>8.1-10 Hz</x:v>
      </x:c>
      <x:c r="E14" s="28" t="str">
        <x:f>'NRMSE聚合输入'!F14</x:f>
        <x:v>Guyan</x:v>
      </x:c>
      <x:c r="F14" s="28" t="n">
        <x:f>'NRMSE聚合输入'!G14</x:f>
        <x:v>2</x:v>
      </x:c>
      <x:c r="G14" s="28" t="str">
        <x:f>'NRMSE聚合输入'!I14</x:f>
        <x:v>group_inferred_uniform_floor</x:v>
      </x:c>
      <x:c r="H14" s="43" t="n">
        <x:f>'NRMSE聚合输入'!M14</x:f>
        <x:v>7874</x:v>
      </x:c>
      <x:c r="I14" s="29" t="n">
        <x:f>'NRMSE聚合输入'!N14</x:f>
        <x:v>938.6655423349498</x:v>
      </x:c>
      <x:c r="J14" s="29" t="n">
        <x:f>'NRMSE聚合输入'!Q14</x:f>
        <x:v>46.3440814316444</x:v>
      </x:c>
      <x:c r="K14" s="40" t="n">
        <x:f>100*SQRT(I14/H14)/J14</x:f>
        <x:v>0.7450123189296456</x:v>
      </x:c>
      <x:c r="L14" s="29" t="n">
        <x:f>'NRMSE聚合输入'!R14</x:f>
        <x:v>0.7452</x:v>
      </x:c>
      <x:c r="M14" s="43" t="n">
        <x:f>'NRMSE聚合输入'!S14</x:f>
        <x:v>4</x:v>
      </x:c>
      <x:c r="N14" s="40" t="n">
        <x:f>ROUND(K14,M14)</x:f>
        <x:v>0.745</x:v>
      </x:c>
      <x:c r="O14" s="40" t="n">
        <x:f>ABS(K14-L14)</x:f>
        <x:v>0.00018768107035438408</x:v>
      </x:c>
      <x:c r="P14" s="45" t="n">
        <x:f>IF(ABS(N14-L14)&lt;='论文合同'!$B$5,1,0)</x:f>
        <x:v>0</x:v>
      </x:c>
      <x:c r="Q14" s="40" t="n">
        <x:f>'NRMSE聚合输入'!T14</x:f>
        <x:v>0.7450123189296456</x:v>
      </x:c>
      <x:c r="R14" s="40" t="n">
        <x:f>ABS(K14-Q14)</x:f>
        <x:v>0</x:v>
      </x:c>
      <x:c r="S14" s="20" t="str">
        <x:v>历史值/待决定</x:v>
      </x:c>
      <x:c r="T14" s="20" t="str">
        <x:v>第一类划分_Chirp响应.csv</x:v>
      </x:c>
      <x:c r="U14" s="46" t="n">
        <x:v>1</x:v>
      </x:c>
    </x:row>
    <x:row r="15">
      <x:c r="A15" s="28" t="str">
        <x:f>'NRMSE聚合输入'!A15</x:f>
        <x:v>T3-3-D1-ElCentro-B0-CB</x:v>
      </x:c>
      <x:c r="B15" s="28" t="n">
        <x:f>'NRMSE聚合输入'!B15</x:f>
        <x:v>1</x:v>
      </x:c>
      <x:c r="C15" s="28" t="str">
        <x:f>'NRMSE聚合输入'!C15</x:f>
        <x:v>ElCentro</x:v>
      </x:c>
      <x:c r="D15" s="28" t="str">
        <x:f>'NRMSE聚合输入'!E15</x:f>
        <x:v>El Centro full</x:v>
      </x:c>
      <x:c r="E15" s="28" t="str">
        <x:f>'NRMSE聚合输入'!F15</x:f>
        <x:v>Craig-Bampton</x:v>
      </x:c>
      <x:c r="F15" s="28" t="n">
        <x:f>'NRMSE聚合输入'!G15</x:f>
        <x:v>2</x:v>
      </x:c>
      <x:c r="G15" s="28" t="str">
        <x:f>'NRMSE聚合输入'!I15</x:f>
        <x:v>group_inferred_uniform_floor</x:v>
      </x:c>
      <x:c r="H15" s="43" t="n">
        <x:f>'NRMSE聚合输入'!M15</x:f>
        <x:v>40961</x:v>
      </x:c>
      <x:c r="I15" s="29" t="n">
        <x:f>'NRMSE聚合输入'!N15</x:f>
        <x:v>0.03524161723430878</x:v>
      </x:c>
      <x:c r="J15" s="29" t="n">
        <x:f>'NRMSE聚合输入'!Q15</x:f>
        <x:v>16.13100843799066</x:v>
      </x:c>
      <x:c r="K15" s="40" t="n">
        <x:f>100*SQRT(I15/H15)/J15</x:f>
        <x:v>0.005750175782225684</x:v>
      </x:c>
      <x:c r="L15" s="29" t="n">
        <x:f>'NRMSE聚合输入'!R15</x:f>
        <x:v>0.0058</x:v>
      </x:c>
      <x:c r="M15" s="43" t="n">
        <x:f>'NRMSE聚合输入'!S15</x:f>
        <x:v>4</x:v>
      </x:c>
      <x:c r="N15" s="40" t="n">
        <x:f>ROUND(K15,M15)</x:f>
        <x:v>0.0058</x:v>
      </x:c>
      <x:c r="O15" s="40" t="n">
        <x:f>ABS(K15-L15)</x:f>
        <x:v>0.00004982421777431547</x:v>
      </x:c>
      <x:c r="P15" s="44" t="n">
        <x:f>IF(ABS(N15-L15)&lt;='论文合同'!$B$5,1,0)</x:f>
        <x:v>1</x:v>
      </x:c>
      <x:c r="Q15" s="40" t="n">
        <x:f>'NRMSE聚合输入'!T15</x:f>
        <x:v>0.005750175782225684</x:v>
      </x:c>
      <x:c r="R15" s="40" t="n">
        <x:f>ABS(K15-Q15)</x:f>
        <x:v>0</x:v>
      </x:c>
      <x:c r="S15" s="20" t="str">
        <x:v>计算级复现（当前冻结响应+历史脚本口径；作者历史逐点数组待决定）</x:v>
      </x:c>
      <x:c r="T15" s="20" t="str">
        <x:v>第一类划分_ElCentro地震响应.csv</x:v>
      </x:c>
      <x:c r="U15" s="46" t="n">
        <x:v>1</x:v>
      </x:c>
    </x:row>
    <x:row r="16">
      <x:c r="A16" s="28" t="str">
        <x:f>'NRMSE聚合输入'!A16</x:f>
        <x:v>T3-3-D1-ElCentro-B0-G</x:v>
      </x:c>
      <x:c r="B16" s="28" t="n">
        <x:f>'NRMSE聚合输入'!B16</x:f>
        <x:v>1</x:v>
      </x:c>
      <x:c r="C16" s="28" t="str">
        <x:f>'NRMSE聚合输入'!C16</x:f>
        <x:v>ElCentro</x:v>
      </x:c>
      <x:c r="D16" s="28" t="str">
        <x:f>'NRMSE聚合输入'!E16</x:f>
        <x:v>El Centro full</x:v>
      </x:c>
      <x:c r="E16" s="28" t="str">
        <x:f>'NRMSE聚合输入'!F16</x:f>
        <x:v>Guyan</x:v>
      </x:c>
      <x:c r="F16" s="28" t="n">
        <x:f>'NRMSE聚合输入'!G16</x:f>
        <x:v>2</x:v>
      </x:c>
      <x:c r="G16" s="28" t="str">
        <x:f>'NRMSE聚合输入'!I16</x:f>
        <x:v>group_inferred_uniform_floor</x:v>
      </x:c>
      <x:c r="H16" s="43" t="n">
        <x:f>'NRMSE聚合输入'!M16</x:f>
        <x:v>40961</x:v>
      </x:c>
      <x:c r="I16" s="29" t="n">
        <x:f>'NRMSE聚合输入'!N16</x:f>
        <x:v>612.0849112276503</x:v>
      </x:c>
      <x:c r="J16" s="29" t="n">
        <x:f>'NRMSE聚合输入'!Q16</x:f>
        <x:v>16.13100843799066</x:v>
      </x:c>
      <x:c r="K16" s="40" t="n">
        <x:f>100*SQRT(I16/H16)/J16</x:f>
        <x:v>0.7578077511377075</x:v>
      </x:c>
      <x:c r="L16" s="29" t="n">
        <x:f>'NRMSE聚合输入'!R16</x:f>
        <x:v>0.7578</x:v>
      </x:c>
      <x:c r="M16" s="43" t="n">
        <x:f>'NRMSE聚合输入'!S16</x:f>
        <x:v>4</x:v>
      </x:c>
      <x:c r="N16" s="40" t="n">
        <x:f>ROUND(K16,M16)</x:f>
        <x:v>0.7578</x:v>
      </x:c>
      <x:c r="O16" s="40" t="n">
        <x:f>ABS(K16-L16)</x:f>
        <x:v>0.000007751137707456834</x:v>
      </x:c>
      <x:c r="P16" s="44" t="n">
        <x:f>IF(ABS(N16-L16)&lt;='论文合同'!$B$5,1,0)</x:f>
        <x:v>1</x:v>
      </x:c>
      <x:c r="Q16" s="40" t="n">
        <x:f>'NRMSE聚合输入'!T16</x:f>
        <x:v>0.7578077511377075</x:v>
      </x:c>
      <x:c r="R16" s="40" t="n">
        <x:f>ABS(K16-Q16)</x:f>
        <x:v>0</x:v>
      </x:c>
      <x:c r="S16" s="20" t="str">
        <x:v>计算级复现（当前冻结响应+历史脚本口径；作者历史逐点数组待决定）</x:v>
      </x:c>
      <x:c r="T16" s="20" t="str">
        <x:v>第一类划分_ElCentro地震响应.csv</x:v>
      </x:c>
      <x:c r="U16" s="46" t="n">
        <x:v>1</x:v>
      </x:c>
    </x:row>
    <x:row r="17">
      <x:c r="A17" s="28" t="str">
        <x:f>'NRMSE聚合输入'!A17</x:f>
        <x:v>T3-3-D2-Chirp-B1-CB</x:v>
      </x:c>
      <x:c r="B17" s="28" t="n">
        <x:f>'NRMSE聚合输入'!B17</x:f>
        <x:v>2</x:v>
      </x:c>
      <x:c r="C17" s="28" t="str">
        <x:f>'NRMSE聚合输入'!C17</x:f>
        <x:v>Chirp</x:v>
      </x:c>
      <x:c r="D17" s="28" t="str">
        <x:f>'NRMSE聚合输入'!E17</x:f>
        <x:v>0.1-1.9 Hz</x:v>
      </x:c>
      <x:c r="E17" s="28" t="str">
        <x:f>'NRMSE聚合输入'!F17</x:f>
        <x:v>Craig-Bampton</x:v>
      </x:c>
      <x:c r="F17" s="28" t="n">
        <x:f>'NRMSE聚合输入'!G17</x:f>
        <x:v>1</x:v>
      </x:c>
      <x:c r="G17" s="28" t="str">
        <x:f>'NRMSE聚合输入'!I17</x:f>
        <x:v>no_uniform_floor; nearest_historical_reported_only</x:v>
      </x:c>
      <x:c r="H17" s="43" t="n">
        <x:f>'NRMSE聚合输入'!M17</x:f>
        <x:v>7445</x:v>
      </x:c>
      <x:c r="I17" s="29" t="n">
        <x:f>'NRMSE聚合输入'!N17</x:f>
        <x:v>0.00033210233047084207</x:v>
      </x:c>
      <x:c r="J17" s="29" t="n">
        <x:f>'NRMSE聚合输入'!Q17</x:f>
        <x:v>17.63932531262043</x:v>
      </x:c>
      <x:c r="K17" s="40" t="n">
        <x:f>100*SQRT(I17/H17)/J17</x:f>
        <x:v>0.001197351439857806</x:v>
      </x:c>
      <x:c r="L17" s="29" t="n">
        <x:f>'NRMSE聚合输入'!R17</x:f>
        <x:v>0.0037</x:v>
      </x:c>
      <x:c r="M17" s="43" t="n">
        <x:f>'NRMSE聚合输入'!S17</x:f>
        <x:v>4</x:v>
      </x:c>
      <x:c r="N17" s="40" t="n">
        <x:f>ROUND(K17,M17)</x:f>
        <x:v>0.0012</x:v>
      </x:c>
      <x:c r="O17" s="40" t="n">
        <x:f>ABS(K17-L17)</x:f>
        <x:v>0.0025026485601421945</x:v>
      </x:c>
      <x:c r="P17" s="45" t="n">
        <x:f>IF(ABS(N17-L17)&lt;='论文合同'!$B$5,1,0)</x:f>
        <x:v>0</x:v>
      </x:c>
      <x:c r="Q17" s="40" t="n">
        <x:f>'NRMSE聚合输入'!T17</x:f>
        <x:v>0.001197351439857806</x:v>
      </x:c>
      <x:c r="R17" s="40" t="n">
        <x:f>ABS(K17-Q17)</x:f>
        <x:v>0</x:v>
      </x:c>
      <x:c r="S17" s="20" t="str">
        <x:v>历史值/待决定</x:v>
      </x:c>
      <x:c r="T17" s="20" t="str">
        <x:v>第二类划分_Chirp响应.csv</x:v>
      </x:c>
      <x:c r="U17" s="46" t="n">
        <x:v>1</x:v>
      </x:c>
    </x:row>
    <x:row r="18">
      <x:c r="A18" s="28" t="str">
        <x:f>'NRMSE聚合输入'!A18</x:f>
        <x:v>T3-3-D2-Chirp-B1-G</x:v>
      </x:c>
      <x:c r="B18" s="28" t="n">
        <x:f>'NRMSE聚合输入'!B18</x:f>
        <x:v>2</x:v>
      </x:c>
      <x:c r="C18" s="28" t="str">
        <x:f>'NRMSE聚合输入'!C18</x:f>
        <x:v>Chirp</x:v>
      </x:c>
      <x:c r="D18" s="28" t="str">
        <x:f>'NRMSE聚合输入'!E18</x:f>
        <x:v>0.1-1.9 Hz</x:v>
      </x:c>
      <x:c r="E18" s="28" t="str">
        <x:f>'NRMSE聚合输入'!F18</x:f>
        <x:v>Guyan</x:v>
      </x:c>
      <x:c r="F18" s="28" t="n">
        <x:f>'NRMSE聚合输入'!G18</x:f>
        <x:v>2</x:v>
      </x:c>
      <x:c r="G18" s="28" t="str">
        <x:f>'NRMSE聚合输入'!I18</x:f>
        <x:v>no_uniform_floor; nearest_historical_reported_only</x:v>
      </x:c>
      <x:c r="H18" s="43" t="n">
        <x:f>'NRMSE聚合输入'!M18</x:f>
        <x:v>7445</x:v>
      </x:c>
      <x:c r="I18" s="29" t="n">
        <x:f>'NRMSE聚合输入'!N18</x:f>
        <x:v>1060.5406682559328</x:v>
      </x:c>
      <x:c r="J18" s="29" t="n">
        <x:f>'NRMSE聚合输入'!Q18</x:f>
        <x:v>46.3440814316444</x:v>
      </x:c>
      <x:c r="K18" s="40" t="n">
        <x:f>100*SQRT(I18/H18)/J18</x:f>
        <x:v>0.8143986289091448</x:v>
      </x:c>
      <x:c r="L18" s="29" t="n">
        <x:f>'NRMSE聚合输入'!R18</x:f>
        <x:v>2.9956</x:v>
      </x:c>
      <x:c r="M18" s="43" t="n">
        <x:f>'NRMSE聚合输入'!S18</x:f>
        <x:v>4</x:v>
      </x:c>
      <x:c r="N18" s="40" t="n">
        <x:f>ROUND(K18,M18)</x:f>
        <x:v>0.8144</x:v>
      </x:c>
      <x:c r="O18" s="40" t="n">
        <x:f>ABS(K18-L18)</x:f>
        <x:v>2.181201371090855</x:v>
      </x:c>
      <x:c r="P18" s="45" t="n">
        <x:f>IF(ABS(N18-L18)&lt;='论文合同'!$B$5,1,0)</x:f>
        <x:v>0</x:v>
      </x:c>
      <x:c r="Q18" s="40" t="n">
        <x:f>'NRMSE聚合输入'!T18</x:f>
        <x:v>0.8143986289091448</x:v>
      </x:c>
      <x:c r="R18" s="40" t="n">
        <x:f>ABS(K18-Q18)</x:f>
        <x:v>0</x:v>
      </x:c>
      <x:c r="S18" s="20" t="str">
        <x:v>历史值/待决定</x:v>
      </x:c>
      <x:c r="T18" s="20" t="str">
        <x:v>第二类划分_Chirp响应.csv</x:v>
      </x:c>
      <x:c r="U18" s="46" t="n">
        <x:v>1</x:v>
      </x:c>
    </x:row>
    <x:row r="19">
      <x:c r="A19" s="28" t="str">
        <x:f>'NRMSE聚合输入'!A19</x:f>
        <x:v>T3-3-D2-Chirp-B2-CB</x:v>
      </x:c>
      <x:c r="B19" s="28" t="n">
        <x:f>'NRMSE聚合输入'!B19</x:f>
        <x:v>2</x:v>
      </x:c>
      <x:c r="C19" s="28" t="str">
        <x:f>'NRMSE聚合输入'!C19</x:f>
        <x:v>Chirp</x:v>
      </x:c>
      <x:c r="D19" s="28" t="str">
        <x:f>'NRMSE聚合输入'!E19</x:f>
        <x:v>1.9-3.5 Hz</x:v>
      </x:c>
      <x:c r="E19" s="28" t="str">
        <x:f>'NRMSE聚合输入'!F19</x:f>
        <x:v>Craig-Bampton</x:v>
      </x:c>
      <x:c r="F19" s="28" t="n">
        <x:f>'NRMSE聚合输入'!G19</x:f>
        <x:v>3</x:v>
      </x:c>
      <x:c r="G19" s="28" t="str">
        <x:f>'NRMSE聚合输入'!I19</x:f>
        <x:v>no_uniform_floor; nearest_historical_reported_only</x:v>
      </x:c>
      <x:c r="H19" s="43" t="n">
        <x:f>'NRMSE聚合输入'!M19</x:f>
        <x:v>6615</x:v>
      </x:c>
      <x:c r="I19" s="29" t="n">
        <x:f>'NRMSE聚合输入'!N19</x:f>
        <x:v>16.804634364223745</x:v>
      </x:c>
      <x:c r="J19" s="29" t="n">
        <x:f>'NRMSE聚合输入'!Q19</x:f>
        <x:v>68.88800442157631</x:v>
      </x:c>
      <x:c r="K19" s="40" t="n">
        <x:f>100*SQRT(I19/H19)/J19</x:f>
        <x:v>0.0731654428151781</x:v>
      </x:c>
      <x:c r="L19" s="29" t="n">
        <x:f>'NRMSE聚合输入'!R19</x:f>
        <x:v>0.056</x:v>
      </x:c>
      <x:c r="M19" s="43" t="n">
        <x:f>'NRMSE聚合输入'!S19</x:f>
        <x:v>4</x:v>
      </x:c>
      <x:c r="N19" s="40" t="n">
        <x:f>ROUND(K19,M19)</x:f>
        <x:v>0.0732</x:v>
      </x:c>
      <x:c r="O19" s="40" t="n">
        <x:f>ABS(K19-L19)</x:f>
        <x:v>0.0171654428151781</x:v>
      </x:c>
      <x:c r="P19" s="45" t="n">
        <x:f>IF(ABS(N19-L19)&lt;='论文合同'!$B$5,1,0)</x:f>
        <x:v>0</x:v>
      </x:c>
      <x:c r="Q19" s="40" t="n">
        <x:f>'NRMSE聚合输入'!T19</x:f>
        <x:v>0.0731654428151781</x:v>
      </x:c>
      <x:c r="R19" s="40" t="n">
        <x:f>ABS(K19-Q19)</x:f>
        <x:v>0</x:v>
      </x:c>
      <x:c r="S19" s="20" t="str">
        <x:v>历史值/待决定</x:v>
      </x:c>
      <x:c r="T19" s="20" t="str">
        <x:v>第二类划分_Chirp响应.csv</x:v>
      </x:c>
      <x:c r="U19" s="46" t="n">
        <x:v>1</x:v>
      </x:c>
    </x:row>
    <x:row r="20">
      <x:c r="A20" s="28" t="str">
        <x:f>'NRMSE聚合输入'!A20</x:f>
        <x:v>T3-3-D2-Chirp-B2-G</x:v>
      </x:c>
      <x:c r="B20" s="28" t="n">
        <x:f>'NRMSE聚合输入'!B20</x:f>
        <x:v>2</x:v>
      </x:c>
      <x:c r="C20" s="28" t="str">
        <x:f>'NRMSE聚合输入'!C20</x:f>
        <x:v>Chirp</x:v>
      </x:c>
      <x:c r="D20" s="28" t="str">
        <x:f>'NRMSE聚合输入'!E20</x:f>
        <x:v>1.9-3.5 Hz</x:v>
      </x:c>
      <x:c r="E20" s="28" t="str">
        <x:f>'NRMSE聚合输入'!F20</x:f>
        <x:v>Guyan</x:v>
      </x:c>
      <x:c r="F20" s="28" t="n">
        <x:f>'NRMSE聚合输入'!G20</x:f>
        <x:v>1</x:v>
      </x:c>
      <x:c r="G20" s="28" t="str">
        <x:f>'NRMSE聚合输入'!I20</x:f>
        <x:v>no_uniform_floor; nearest_historical_reported_only</x:v>
      </x:c>
      <x:c r="H20" s="43" t="n">
        <x:f>'NRMSE聚合输入'!M20</x:f>
        <x:v>6615</x:v>
      </x:c>
      <x:c r="I20" s="29" t="n">
        <x:f>'NRMSE聚合输入'!N20</x:f>
        <x:v>148489.8357639727</x:v>
      </x:c>
      <x:c r="J20" s="29" t="n">
        <x:f>'NRMSE聚合输入'!Q20</x:f>
        <x:v>17.63932531262043</x:v>
      </x:c>
      <x:c r="K20" s="40" t="n">
        <x:f>100*SQRT(I20/H20)/J20</x:f>
        <x:v>26.85971928168189</x:v>
      </x:c>
      <x:c r="L20" s="29" t="n">
        <x:f>'NRMSE聚合输入'!R20</x:f>
        <x:v>19.0594</x:v>
      </x:c>
      <x:c r="M20" s="43" t="n">
        <x:f>'NRMSE聚合输入'!S20</x:f>
        <x:v>4</x:v>
      </x:c>
      <x:c r="N20" s="40" t="n">
        <x:f>ROUND(K20,M20)</x:f>
        <x:v>26.8597</x:v>
      </x:c>
      <x:c r="O20" s="40" t="n">
        <x:f>ABS(K20-L20)</x:f>
        <x:v>7.80031928168189</x:v>
      </x:c>
      <x:c r="P20" s="45" t="n">
        <x:f>IF(ABS(N20-L20)&lt;='论文合同'!$B$5,1,0)</x:f>
        <x:v>0</x:v>
      </x:c>
      <x:c r="Q20" s="40" t="n">
        <x:f>'NRMSE聚合输入'!T20</x:f>
        <x:v>26.85971928168189</x:v>
      </x:c>
      <x:c r="R20" s="40" t="n">
        <x:f>ABS(K20-Q20)</x:f>
        <x:v>0</x:v>
      </x:c>
      <x:c r="S20" s="20" t="str">
        <x:v>历史值/待决定</x:v>
      </x:c>
      <x:c r="T20" s="20" t="str">
        <x:v>第二类划分_Chirp响应.csv</x:v>
      </x:c>
      <x:c r="U20" s="46" t="n">
        <x:v>1</x:v>
      </x:c>
    </x:row>
    <x:row r="21">
      <x:c r="A21" s="28" t="str">
        <x:f>'NRMSE聚合输入'!A21</x:f>
        <x:v>T3-3-D2-Chirp-B3-CB</x:v>
      </x:c>
      <x:c r="B21" s="28" t="n">
        <x:f>'NRMSE聚合输入'!B21</x:f>
        <x:v>2</x:v>
      </x:c>
      <x:c r="C21" s="28" t="str">
        <x:f>'NRMSE聚合输入'!C21</x:f>
        <x:v>Chirp</x:v>
      </x:c>
      <x:c r="D21" s="28" t="str">
        <x:f>'NRMSE聚合输入'!E21</x:f>
        <x:v>3.5-5.4 Hz</x:v>
      </x:c>
      <x:c r="E21" s="28" t="str">
        <x:f>'NRMSE聚合输入'!F21</x:f>
        <x:v>Craig-Bampton</x:v>
      </x:c>
      <x:c r="F21" s="28" t="n">
        <x:f>'NRMSE聚合输入'!G21</x:f>
        <x:v>1</x:v>
      </x:c>
      <x:c r="G21" s="28" t="str">
        <x:f>'NRMSE聚合输入'!I21</x:f>
        <x:v>no_uniform_floor; nearest_historical_reported_only</x:v>
      </x:c>
      <x:c r="H21" s="43" t="n">
        <x:f>'NRMSE聚合输入'!M21</x:f>
        <x:v>7854</x:v>
      </x:c>
      <x:c r="I21" s="29" t="n">
        <x:f>'NRMSE聚合输入'!N21</x:f>
        <x:v>0.12498347958021434</x:v>
      </x:c>
      <x:c r="J21" s="29" t="n">
        <x:f>'NRMSE聚合输入'!Q21</x:f>
        <x:v>17.63932531262043</x:v>
      </x:c>
      <x:c r="K21" s="40" t="n">
        <x:f>100*SQRT(I21/H21)/J21</x:f>
        <x:v>0.022615119527870615</x:v>
      </x:c>
      <x:c r="L21" s="29" t="n">
        <x:f>'NRMSE聚合输入'!R21</x:f>
        <x:v>0.0296</x:v>
      </x:c>
      <x:c r="M21" s="43" t="n">
        <x:f>'NRMSE聚合输入'!S21</x:f>
        <x:v>4</x:v>
      </x:c>
      <x:c r="N21" s="40" t="n">
        <x:f>ROUND(K21,M21)</x:f>
        <x:v>0.0226</x:v>
      </x:c>
      <x:c r="O21" s="40" t="n">
        <x:f>ABS(K21-L21)</x:f>
        <x:v>0.0069848804721293865</x:v>
      </x:c>
      <x:c r="P21" s="45" t="n">
        <x:f>IF(ABS(N21-L21)&lt;='论文合同'!$B$5,1,0)</x:f>
        <x:v>0</x:v>
      </x:c>
      <x:c r="Q21" s="40" t="n">
        <x:f>'NRMSE聚合输入'!T21</x:f>
        <x:v>0.022615119527870615</x:v>
      </x:c>
      <x:c r="R21" s="40" t="n">
        <x:f>ABS(K21-Q21)</x:f>
        <x:v>0</x:v>
      </x:c>
      <x:c r="S21" s="20" t="str">
        <x:v>历史值/待决定</x:v>
      </x:c>
      <x:c r="T21" s="20" t="str">
        <x:v>第二类划分_Chirp响应.csv</x:v>
      </x:c>
      <x:c r="U21" s="46" t="n">
        <x:v>1</x:v>
      </x:c>
    </x:row>
    <x:row r="22">
      <x:c r="A22" s="28" t="str">
        <x:f>'NRMSE聚合输入'!A22</x:f>
        <x:v>T3-3-D2-Chirp-B3-G</x:v>
      </x:c>
      <x:c r="B22" s="28" t="n">
        <x:f>'NRMSE聚合输入'!B22</x:f>
        <x:v>2</x:v>
      </x:c>
      <x:c r="C22" s="28" t="str">
        <x:f>'NRMSE聚合输入'!C22</x:f>
        <x:v>Chirp</x:v>
      </x:c>
      <x:c r="D22" s="28" t="str">
        <x:f>'NRMSE聚合输入'!E22</x:f>
        <x:v>3.5-5.4 Hz</x:v>
      </x:c>
      <x:c r="E22" s="28" t="str">
        <x:f>'NRMSE聚合输入'!F22</x:f>
        <x:v>Guyan</x:v>
      </x:c>
      <x:c r="F22" s="28" t="n">
        <x:f>'NRMSE聚合输入'!G22</x:f>
        <x:v>3</x:v>
      </x:c>
      <x:c r="G22" s="28" t="str">
        <x:f>'NRMSE聚合输入'!I22</x:f>
        <x:v>no_uniform_floor; nearest_historical_reported_only</x:v>
      </x:c>
      <x:c r="H22" s="43" t="n">
        <x:f>'NRMSE聚合输入'!M22</x:f>
        <x:v>7854</x:v>
      </x:c>
      <x:c r="I22" s="29" t="n">
        <x:f>'NRMSE聚合输入'!N22</x:f>
        <x:v>465636.07777733484</x:v>
      </x:c>
      <x:c r="J22" s="29" t="n">
        <x:f>'NRMSE聚合输入'!Q22</x:f>
        <x:v>68.88800442157631</x:v>
      </x:c>
      <x:c r="K22" s="40" t="n">
        <x:f>100*SQRT(I22/H22)/J22</x:f>
        <x:v>11.17723182403666</x:v>
      </x:c>
      <x:c r="L22" s="29" t="n">
        <x:f>'NRMSE聚合输入'!R22</x:f>
        <x:v>14.876</x:v>
      </x:c>
      <x:c r="M22" s="43" t="n">
        <x:f>'NRMSE聚合输入'!S22</x:f>
        <x:v>4</x:v>
      </x:c>
      <x:c r="N22" s="40" t="n">
        <x:f>ROUND(K22,M22)</x:f>
        <x:v>11.1772</x:v>
      </x:c>
      <x:c r="O22" s="40" t="n">
        <x:f>ABS(K22-L22)</x:f>
        <x:v>3.6987681759633393</x:v>
      </x:c>
      <x:c r="P22" s="45" t="n">
        <x:f>IF(ABS(N22-L22)&lt;='论文合同'!$B$5,1,0)</x:f>
        <x:v>0</x:v>
      </x:c>
      <x:c r="Q22" s="40" t="n">
        <x:f>'NRMSE聚合输入'!T22</x:f>
        <x:v>11.17723182403666</x:v>
      </x:c>
      <x:c r="R22" s="40" t="n">
        <x:f>ABS(K22-Q22)</x:f>
        <x:v>0</x:v>
      </x:c>
      <x:c r="S22" s="20" t="str">
        <x:v>历史值/待决定</x:v>
      </x:c>
      <x:c r="T22" s="20" t="str">
        <x:v>第二类划分_Chirp响应.csv</x:v>
      </x:c>
      <x:c r="U22" s="46" t="n">
        <x:v>1</x:v>
      </x:c>
    </x:row>
    <x:row r="23">
      <x:c r="A23" s="28" t="str">
        <x:f>'NRMSE聚合输入'!A23</x:f>
        <x:v>T3-3-D2-Chirp-B4-CB</x:v>
      </x:c>
      <x:c r="B23" s="28" t="n">
        <x:f>'NRMSE聚合输入'!B23</x:f>
        <x:v>2</x:v>
      </x:c>
      <x:c r="C23" s="28" t="str">
        <x:f>'NRMSE聚合输入'!C23</x:f>
        <x:v>Chirp</x:v>
      </x:c>
      <x:c r="D23" s="28" t="str">
        <x:f>'NRMSE聚合输入'!E23</x:f>
        <x:v>5.4-8.1 Hz</x:v>
      </x:c>
      <x:c r="E23" s="28" t="str">
        <x:f>'NRMSE聚合输入'!F23</x:f>
        <x:v>Craig-Bampton</x:v>
      </x:c>
      <x:c r="F23" s="28" t="n">
        <x:f>'NRMSE聚合输入'!G23</x:f>
        <x:v>1</x:v>
      </x:c>
      <x:c r="G23" s="28" t="str">
        <x:f>'NRMSE聚合输入'!I23</x:f>
        <x:v>no_uniform_floor; nearest_historical_reported_only</x:v>
      </x:c>
      <x:c r="H23" s="43" t="n">
        <x:f>'NRMSE聚合输入'!M23</x:f>
        <x:v>11172</x:v>
      </x:c>
      <x:c r="I23" s="29" t="n">
        <x:f>'NRMSE聚合输入'!N23</x:f>
        <x:v>0.005468225617164862</x:v>
      </x:c>
      <x:c r="J23" s="29" t="n">
        <x:f>'NRMSE聚合输入'!Q23</x:f>
        <x:v>17.63932531262043</x:v>
      </x:c>
      <x:c r="K23" s="40" t="n">
        <x:f>100*SQRT(I23/H23)/J23</x:f>
        <x:v>0.003966210676641572</x:v>
      </x:c>
      <x:c r="L23" s="29" t="n">
        <x:f>'NRMSE聚合输入'!R23</x:f>
        <x:v>0.0139</x:v>
      </x:c>
      <x:c r="M23" s="43" t="n">
        <x:f>'NRMSE聚合输入'!S23</x:f>
        <x:v>4</x:v>
      </x:c>
      <x:c r="N23" s="40" t="n">
        <x:f>ROUND(K23,M23)</x:f>
        <x:v>0.004</x:v>
      </x:c>
      <x:c r="O23" s="40" t="n">
        <x:f>ABS(K23-L23)</x:f>
        <x:v>0.009933789323358427</x:v>
      </x:c>
      <x:c r="P23" s="45" t="n">
        <x:f>IF(ABS(N23-L23)&lt;='论文合同'!$B$5,1,0)</x:f>
        <x:v>0</x:v>
      </x:c>
      <x:c r="Q23" s="40" t="n">
        <x:f>'NRMSE聚合输入'!T23</x:f>
        <x:v>0.003966210676641572</x:v>
      </x:c>
      <x:c r="R23" s="40" t="n">
        <x:f>ABS(K23-Q23)</x:f>
        <x:v>0</x:v>
      </x:c>
      <x:c r="S23" s="20" t="str">
        <x:v>历史值/待决定</x:v>
      </x:c>
      <x:c r="T23" s="20" t="str">
        <x:v>第二类划分_Chirp响应.csv</x:v>
      </x:c>
      <x:c r="U23" s="46" t="n">
        <x:v>1</x:v>
      </x:c>
    </x:row>
    <x:row r="24">
      <x:c r="A24" s="28" t="str">
        <x:f>'NRMSE聚合输入'!A24</x:f>
        <x:v>T3-3-D2-Chirp-B4-G</x:v>
      </x:c>
      <x:c r="B24" s="28" t="n">
        <x:f>'NRMSE聚合输入'!B24</x:f>
        <x:v>2</x:v>
      </x:c>
      <x:c r="C24" s="28" t="str">
        <x:f>'NRMSE聚合输入'!C24</x:f>
        <x:v>Chirp</x:v>
      </x:c>
      <x:c r="D24" s="28" t="str">
        <x:f>'NRMSE聚合输入'!E24</x:f>
        <x:v>5.4-8.1 Hz</x:v>
      </x:c>
      <x:c r="E24" s="28" t="str">
        <x:f>'NRMSE聚合输入'!F24</x:f>
        <x:v>Guyan</x:v>
      </x:c>
      <x:c r="F24" s="28" t="n">
        <x:f>'NRMSE聚合输入'!G24</x:f>
        <x:v>3</x:v>
      </x:c>
      <x:c r="G24" s="28" t="str">
        <x:f>'NRMSE聚合输入'!I24</x:f>
        <x:v>no_uniform_floor; nearest_historical_reported_only</x:v>
      </x:c>
      <x:c r="H24" s="43" t="n">
        <x:f>'NRMSE聚合输入'!M24</x:f>
        <x:v>11172</x:v>
      </x:c>
      <x:c r="I24" s="29" t="n">
        <x:f>'NRMSE聚合输入'!N24</x:f>
        <x:v>1044.8448438672267</x:v>
      </x:c>
      <x:c r="J24" s="29" t="n">
        <x:f>'NRMSE聚合输入'!Q24</x:f>
        <x:v>68.88800442157631</x:v>
      </x:c>
      <x:c r="K24" s="40" t="n">
        <x:f>100*SQRT(I24/H24)/J24</x:f>
        <x:v>0.4439323913761823</x:v>
      </x:c>
      <x:c r="L24" s="29" t="n">
        <x:f>'NRMSE聚合输入'!R24</x:f>
        <x:v>7.4984</x:v>
      </x:c>
      <x:c r="M24" s="43" t="n">
        <x:f>'NRMSE聚合输入'!S24</x:f>
        <x:v>4</x:v>
      </x:c>
      <x:c r="N24" s="40" t="n">
        <x:f>ROUND(K24,M24)</x:f>
        <x:v>0.4439</x:v>
      </x:c>
      <x:c r="O24" s="40" t="n">
        <x:f>ABS(K24-L24)</x:f>
        <x:v>7.054467608623818</x:v>
      </x:c>
      <x:c r="P24" s="45" t="n">
        <x:f>IF(ABS(N24-L24)&lt;='论文合同'!$B$5,1,0)</x:f>
        <x:v>0</x:v>
      </x:c>
      <x:c r="Q24" s="40" t="n">
        <x:f>'NRMSE聚合输入'!T24</x:f>
        <x:v>0.4439323913761823</x:v>
      </x:c>
      <x:c r="R24" s="40" t="n">
        <x:f>ABS(K24-Q24)</x:f>
        <x:v>0</x:v>
      </x:c>
      <x:c r="S24" s="20" t="str">
        <x:v>历史值/待决定</x:v>
      </x:c>
      <x:c r="T24" s="20" t="str">
        <x:v>第二类划分_Chirp响应.csv</x:v>
      </x:c>
      <x:c r="U24" s="46" t="n">
        <x:v>1</x:v>
      </x:c>
    </x:row>
    <x:row r="25">
      <x:c r="A25" s="28" t="str">
        <x:f>'NRMSE聚合输入'!A25</x:f>
        <x:v>T3-3-D2-Chirp-B5-CB</x:v>
      </x:c>
      <x:c r="B25" s="28" t="n">
        <x:f>'NRMSE聚合输入'!B25</x:f>
        <x:v>2</x:v>
      </x:c>
      <x:c r="C25" s="28" t="str">
        <x:f>'NRMSE聚合输入'!C25</x:f>
        <x:v>Chirp</x:v>
      </x:c>
      <x:c r="D25" s="28" t="str">
        <x:f>'NRMSE聚合输入'!E25</x:f>
        <x:v>8.1-10 Hz</x:v>
      </x:c>
      <x:c r="E25" s="28" t="str">
        <x:f>'NRMSE聚合输入'!F25</x:f>
        <x:v>Craig-Bampton</x:v>
      </x:c>
      <x:c r="F25" s="28" t="n">
        <x:f>'NRMSE聚合输入'!G25</x:f>
        <x:v>3</x:v>
      </x:c>
      <x:c r="G25" s="28" t="str">
        <x:f>'NRMSE聚合输入'!I25</x:f>
        <x:v>no_uniform_floor; nearest_historical_reported_only</x:v>
      </x:c>
      <x:c r="H25" s="43" t="n">
        <x:f>'NRMSE聚合输入'!M25</x:f>
        <x:v>7874</x:v>
      </x:c>
      <x:c r="I25" s="29" t="n">
        <x:f>'NRMSE聚合输入'!N25</x:f>
        <x:v>0.5112237699768124</x:v>
      </x:c>
      <x:c r="J25" s="29" t="n">
        <x:f>'NRMSE聚合输入'!Q25</x:f>
        <x:v>68.88800442157631</x:v>
      </x:c>
      <x:c r="K25" s="40" t="n">
        <x:f>100*SQRT(I25/H25)/J25</x:f>
        <x:v>0.011696723131378692</x:v>
      </x:c>
      <x:c r="L25" s="29" t="n">
        <x:f>'NRMSE聚合输入'!R25</x:f>
        <x:v>0.007</x:v>
      </x:c>
      <x:c r="M25" s="43" t="n">
        <x:f>'NRMSE聚合输入'!S25</x:f>
        <x:v>4</x:v>
      </x:c>
      <x:c r="N25" s="40" t="n">
        <x:f>ROUND(K25,M25)</x:f>
        <x:v>0.0117</x:v>
      </x:c>
      <x:c r="O25" s="40" t="n">
        <x:f>ABS(K25-L25)</x:f>
        <x:v>0.004696723131378692</x:v>
      </x:c>
      <x:c r="P25" s="45" t="n">
        <x:f>IF(ABS(N25-L25)&lt;='论文合同'!$B$5,1,0)</x:f>
        <x:v>0</x:v>
      </x:c>
      <x:c r="Q25" s="40" t="n">
        <x:f>'NRMSE聚合输入'!T25</x:f>
        <x:v>0.011696723131378692</x:v>
      </x:c>
      <x:c r="R25" s="40" t="n">
        <x:f>ABS(K25-Q25)</x:f>
        <x:v>0</x:v>
      </x:c>
      <x:c r="S25" s="20" t="str">
        <x:v>历史值/待决定</x:v>
      </x:c>
      <x:c r="T25" s="20" t="str">
        <x:v>第二类划分_Chirp响应.csv</x:v>
      </x:c>
      <x:c r="U25" s="46" t="n">
        <x:v>1</x:v>
      </x:c>
    </x:row>
    <x:row r="26">
      <x:c r="A26" s="28" t="str">
        <x:f>'NRMSE聚合输入'!A26</x:f>
        <x:v>T3-3-D2-Chirp-B5-G</x:v>
      </x:c>
      <x:c r="B26" s="28" t="n">
        <x:f>'NRMSE聚合输入'!B26</x:f>
        <x:v>2</x:v>
      </x:c>
      <x:c r="C26" s="28" t="str">
        <x:f>'NRMSE聚合输入'!C26</x:f>
        <x:v>Chirp</x:v>
      </x:c>
      <x:c r="D26" s="28" t="str">
        <x:f>'NRMSE聚合输入'!E26</x:f>
        <x:v>8.1-10 Hz</x:v>
      </x:c>
      <x:c r="E26" s="28" t="str">
        <x:f>'NRMSE聚合输入'!F26</x:f>
        <x:v>Guyan</x:v>
      </x:c>
      <x:c r="F26" s="28" t="n">
        <x:f>'NRMSE聚合输入'!G26</x:f>
        <x:v>1</x:v>
      </x:c>
      <x:c r="G26" s="28" t="str">
        <x:f>'NRMSE聚合输入'!I26</x:f>
        <x:v>no_uniform_floor; nearest_historical_reported_only</x:v>
      </x:c>
      <x:c r="H26" s="43" t="n">
        <x:f>'NRMSE聚合输入'!M26</x:f>
        <x:v>7874</x:v>
      </x:c>
      <x:c r="I26" s="29" t="n">
        <x:f>'NRMSE聚合输入'!N26</x:f>
        <x:v>2231.092520108419</x:v>
      </x:c>
      <x:c r="J26" s="29" t="n">
        <x:f>'NRMSE聚合输入'!Q26</x:f>
        <x:v>17.63932531262043</x:v>
      </x:c>
      <x:c r="K26" s="40" t="n">
        <x:f>100*SQRT(I26/H26)/J26</x:f>
        <x:v>3.0177212086320986</x:v>
      </x:c>
      <x:c r="L26" s="29" t="n">
        <x:f>'NRMSE聚合输入'!R26</x:f>
        <x:v>2.8127</x:v>
      </x:c>
      <x:c r="M26" s="43" t="n">
        <x:f>'NRMSE聚合输入'!S26</x:f>
        <x:v>4</x:v>
      </x:c>
      <x:c r="N26" s="40" t="n">
        <x:f>ROUND(K26,M26)</x:f>
        <x:v>3.0177</x:v>
      </x:c>
      <x:c r="O26" s="40" t="n">
        <x:f>ABS(K26-L26)</x:f>
        <x:v>0.2050212086320986</x:v>
      </x:c>
      <x:c r="P26" s="45" t="n">
        <x:f>IF(ABS(N26-L26)&lt;='论文合同'!$B$5,1,0)</x:f>
        <x:v>0</x:v>
      </x:c>
      <x:c r="Q26" s="40" t="n">
        <x:f>'NRMSE聚合输入'!T26</x:f>
        <x:v>3.0177212086320986</x:v>
      </x:c>
      <x:c r="R26" s="40" t="n">
        <x:f>ABS(K26-Q26)</x:f>
        <x:v>0</x:v>
      </x:c>
      <x:c r="S26" s="20" t="str">
        <x:v>历史值/待决定</x:v>
      </x:c>
      <x:c r="T26" s="20" t="str">
        <x:v>第二类划分_Chirp响应.csv</x:v>
      </x:c>
      <x:c r="U26" s="46" t="n">
        <x:v>1</x:v>
      </x:c>
    </x:row>
    <x:row r="27">
      <x:c r="A27" s="28" t="str">
        <x:f>'NRMSE聚合输入'!A27</x:f>
        <x:v>T3-3-D2-ElCentro-B0-CB</x:v>
      </x:c>
      <x:c r="B27" s="28" t="n">
        <x:f>'NRMSE聚合输入'!B27</x:f>
        <x:v>2</x:v>
      </x:c>
      <x:c r="C27" s="28" t="str">
        <x:f>'NRMSE聚合输入'!C27</x:f>
        <x:v>ElCentro</x:v>
      </x:c>
      <x:c r="D27" s="28" t="str">
        <x:f>'NRMSE聚合输入'!E27</x:f>
        <x:v>El Centro full</x:v>
      </x:c>
      <x:c r="E27" s="28" t="str">
        <x:f>'NRMSE聚合输入'!F27</x:f>
        <x:v>Craig-Bampton</x:v>
      </x:c>
      <x:c r="F27" s="28" t="n">
        <x:f>'NRMSE聚合输入'!G27</x:f>
        <x:v>3</x:v>
      </x:c>
      <x:c r="G27" s="28" t="str">
        <x:f>'NRMSE聚合输入'!I27</x:f>
        <x:v>group_inferred_uniform_floor</x:v>
      </x:c>
      <x:c r="H27" s="43" t="n">
        <x:f>'NRMSE聚合输入'!M27</x:f>
        <x:v>40961</x:v>
      </x:c>
      <x:c r="I27" s="29" t="n">
        <x:f>'NRMSE聚合输入'!N27</x:f>
        <x:v>1.806759586834862</x:v>
      </x:c>
      <x:c r="J27" s="29" t="n">
        <x:f>'NRMSE聚合输入'!Q27</x:f>
        <x:v>24.4163913665439</x:v>
      </x:c>
      <x:c r="K27" s="40" t="n">
        <x:f>100*SQRT(I27/H27)/J27</x:f>
        <x:v>0.0272009098415715</x:v>
      </x:c>
      <x:c r="L27" s="29" t="n">
        <x:f>'NRMSE聚合输入'!R27</x:f>
        <x:v>0.0272</x:v>
      </x:c>
      <x:c r="M27" s="43" t="n">
        <x:f>'NRMSE聚合输入'!S27</x:f>
        <x:v>4</x:v>
      </x:c>
      <x:c r="N27" s="40" t="n">
        <x:f>ROUND(K27,M27)</x:f>
        <x:v>0.0272</x:v>
      </x:c>
      <x:c r="O27" s="40" t="n">
        <x:f>ABS(K27-L27)</x:f>
        <x:v>9.098415715003139e-7</x:v>
      </x:c>
      <x:c r="P27" s="44" t="n">
        <x:f>IF(ABS(N27-L27)&lt;='论文合同'!$B$5,1,0)</x:f>
        <x:v>1</x:v>
      </x:c>
      <x:c r="Q27" s="40" t="n">
        <x:f>'NRMSE聚合输入'!T27</x:f>
        <x:v>0.0272009098415715</x:v>
      </x:c>
      <x:c r="R27" s="40" t="n">
        <x:f>ABS(K27-Q27)</x:f>
        <x:v>0</x:v>
      </x:c>
      <x:c r="S27" s="20" t="str">
        <x:v>计算级复现（当前冻结响应+历史脚本口径；作者历史逐点数组待决定）</x:v>
      </x:c>
      <x:c r="T27" s="20" t="str">
        <x:v>第二类划分_ElCentro地震响应.csv</x:v>
      </x:c>
      <x:c r="U27" s="46" t="n">
        <x:v>1</x:v>
      </x:c>
    </x:row>
    <x:row r="28">
      <x:c r="A28" s="28" t="str">
        <x:f>'NRMSE聚合输入'!A28</x:f>
        <x:v>T3-3-D2-ElCentro-B0-G</x:v>
      </x:c>
      <x:c r="B28" s="28" t="n">
        <x:f>'NRMSE聚合输入'!B28</x:f>
        <x:v>2</x:v>
      </x:c>
      <x:c r="C28" s="28" t="str">
        <x:f>'NRMSE聚合输入'!C28</x:f>
        <x:v>ElCentro</x:v>
      </x:c>
      <x:c r="D28" s="28" t="str">
        <x:f>'NRMSE聚合输入'!E28</x:f>
        <x:v>El Centro full</x:v>
      </x:c>
      <x:c r="E28" s="28" t="str">
        <x:f>'NRMSE聚合输入'!F28</x:f>
        <x:v>Guyan</x:v>
      </x:c>
      <x:c r="F28" s="28" t="n">
        <x:f>'NRMSE聚合输入'!G28</x:f>
        <x:v>3</x:v>
      </x:c>
      <x:c r="G28" s="28" t="str">
        <x:f>'NRMSE聚合输入'!I28</x:f>
        <x:v>group_inferred_uniform_floor</x:v>
      </x:c>
      <x:c r="H28" s="43" t="n">
        <x:f>'NRMSE聚合输入'!M28</x:f>
        <x:v>40961</x:v>
      </x:c>
      <x:c r="I28" s="29" t="n">
        <x:f>'NRMSE聚合输入'!N28</x:f>
        <x:v>292019.7329918591</x:v>
      </x:c>
      <x:c r="J28" s="29" t="n">
        <x:f>'NRMSE聚合输入'!Q28</x:f>
        <x:v>24.4163913665439</x:v>
      </x:c>
      <x:c r="K28" s="40" t="n">
        <x:f>100*SQRT(I28/H28)/J28</x:f>
        <x:v>10.935517674042613</x:v>
      </x:c>
      <x:c r="L28" s="29" t="n">
        <x:f>'NRMSE聚合输入'!R28</x:f>
        <x:v>10.9355</x:v>
      </x:c>
      <x:c r="M28" s="43" t="n">
        <x:f>'NRMSE聚合输入'!S28</x:f>
        <x:v>4</x:v>
      </x:c>
      <x:c r="N28" s="40" t="n">
        <x:f>ROUND(K28,M28)</x:f>
        <x:v>10.9355</x:v>
      </x:c>
      <x:c r="O28" s="40" t="n">
        <x:f>ABS(K28-L28)</x:f>
        <x:v>0.00001767404261343586</x:v>
      </x:c>
      <x:c r="P28" s="44" t="n">
        <x:f>IF(ABS(N28-L28)&lt;='论文合同'!$B$5,1,0)</x:f>
        <x:v>1</x:v>
      </x:c>
      <x:c r="Q28" s="40" t="n">
        <x:f>'NRMSE聚合输入'!T28</x:f>
        <x:v>10.935517674042613</x:v>
      </x:c>
      <x:c r="R28" s="40" t="n">
        <x:f>ABS(K28-Q28)</x:f>
        <x:v>0</x:v>
      </x:c>
      <x:c r="S28" s="20" t="str">
        <x:v>计算级复现（当前冻结响应+历史脚本口径；作者历史逐点数组待决定）</x:v>
      </x:c>
      <x:c r="T28" s="20" t="str">
        <x:v>第二类划分_ElCentro地震响应.csv</x:v>
      </x:c>
      <x:c r="U28" s="46" t="n">
        <x:v>1</x:v>
      </x:c>
    </x:row>
  </x:sheetData>
  <x:mergeCells>
    <x:mergeCell ref="A1:U1"/>
    <x:mergeCell ref="A2:U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" hidden="0" customWidth="1"/>
    <x:col min="3" max="3" width="34" hidden="0" customWidth="1"/>
    <x:col min="4" max="4" width="18" hidden="0" customWidth="1"/>
    <x:col min="5" max="5" width="38" hidden="0" customWidth="1"/>
    <x:col min="6" max="6" width="18" hidden="0" customWidth="1"/>
    <x:col min="7" max="7" width="18" hidden="0" customWidth="1"/>
    <x:col min="8" max="8" width="16" hidden="0" customWidth="1"/>
    <x:col min="9" max="9" width="13" hidden="0" customWidth="1"/>
    <x:col min="10" max="10" width="9" hidden="0" customWidth="1"/>
    <x:col min="11" max="11" width="16" hidden="0" customWidth="1"/>
    <x:col min="12" max="12" width="15" hidden="0" customWidth="1"/>
    <x:col min="13" max="13" width="15" hidden="0" customWidth="1"/>
    <x:col min="14" max="14" width="15" hidden="0" customWidth="1"/>
    <x:col min="15" max="15" width="42" hidden="0" customWidth="1"/>
    <x:col min="16" max="16" width="50" hidden="0" customWidth="1"/>
    <x:col min="17" max="17" width="36" hidden="0" customWidth="1"/>
    <x:col min="18" max="18" width="26" hidden="0" customWidth="1"/>
    <x:col min="19" max="19" width="12" hidden="0" customWidth="1"/>
    <x:col min="20" max="20" width="9" hidden="0" customWidth="1"/>
  </x:cols>
  <x:sheetData>
    <x:row r="1" ht="30" customHeight="1">
      <x:c r="A1" s="3" t="str">
        <x:v>表3-1至表3-3：40个单元格统一证据链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36" customHeight="1">
      <x:c r="A2" s="7" t="str">
        <x:v>F列链接工作簿公式结果，G列为独立Python基准，H列必须不超过论文合同B6；末位匹配不是对论文正确性的判断，只是复现闭合判据。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4" ht="34" customHeight="1">
      <x:c r="A4" s="17" t="str">
        <x:v>单元格ID</x:v>
      </x:c>
      <x:c r="B4" s="17" t="str">
        <x:v>对象</x:v>
      </x:c>
      <x:c r="C4" s="17" t="str">
        <x:v>工况</x:v>
      </x:c>
      <x:c r="D4" s="17" t="str">
        <x:v>方法</x:v>
      </x:c>
      <x:c r="E4" s="17" t="str">
        <x:v>路线</x:v>
      </x:c>
      <x:c r="F4" s="17" t="str">
        <x:v>工作簿公式值</x:v>
      </x:c>
      <x:c r="G4" s="17" t="str">
        <x:v>Python独立值</x:v>
      </x:c>
      <x:c r="H4" s="17" t="str">
        <x:v>公式-Python差</x:v>
      </x:c>
      <x:c r="I4" s="17" t="str">
        <x:v>论文值</x:v>
      </x:c>
      <x:c r="J4" s="17" t="str">
        <x:v>小数位</x:v>
      </x:c>
      <x:c r="K4" s="17" t="str">
        <x:v>工作簿舍入</x:v>
      </x:c>
      <x:c r="L4" s="17" t="str">
        <x:v>工作簿末位匹配</x:v>
      </x:c>
      <x:c r="M4" s="17" t="str">
        <x:v>Python末位匹配</x:v>
      </x:c>
      <x:c r="N4" s="17" t="str">
        <x:v>MATLAB-Python</x:v>
      </x:c>
      <x:c r="O4" s="17" t="str">
        <x:v>证据等级</x:v>
      </x:c>
      <x:c r="P4" s="17" t="str">
        <x:v>公式</x:v>
      </x:c>
      <x:c r="Q4" s="17" t="str">
        <x:v>来源</x:v>
      </x:c>
      <x:c r="R4" s="17" t="str">
        <x:v>SHA-256</x:v>
      </x:c>
      <x:c r="S4" s="17" t="str">
        <x:v>公式一致</x:v>
      </x:c>
      <x:c r="T4" s="17" t="str">
        <x:v>记录数</x:v>
      </x:c>
    </x:row>
    <x:row r="5">
      <x:c r="A5" s="20" t="str">
        <x:v>T3-1-D1-G-M1</x:v>
      </x:c>
      <x:c r="B5" s="20" t="str">
        <x:v>T3-1</x:v>
      </x:c>
      <x:c r="C5" s="20" t="str">
        <x:v>1；第1阶</x:v>
      </x:c>
      <x:c r="D5" s="20" t="str">
        <x:v>Guyan</x:v>
      </x:c>
      <x:c r="E5" s="20" t="str">
        <x:v>historical_single_sided</x:v>
      </x:c>
      <x:c r="F5" s="40" t="n">
        <x:f>'表3-1计算'!G5</x:f>
        <x:v>0.648264421674796</x:v>
      </x:c>
      <x:c r="G5" s="29" t="n">
        <x:v>0.648264421674796</x:v>
      </x:c>
      <x:c r="H5" s="29" t="n">
        <x:f>ABS(F5-G5)</x:f>
        <x:v>0</x:v>
      </x:c>
      <x:c r="I5" s="29" t="n">
        <x:v>0.648</x:v>
      </x:c>
      <x:c r="J5" s="43" t="n">
        <x:v>3</x:v>
      </x:c>
      <x:c r="K5" s="40" t="n">
        <x:f>ROUND(F5,J5)</x:f>
        <x:v>0.648</x:v>
      </x:c>
      <x:c r="L5" s="44" t="n">
        <x:f>IF(ABS(K5-I5)&lt;='论文合同'!$B$5,1,0)</x:f>
        <x:v>1</x:v>
      </x:c>
      <x:c r="M5" s="46" t="n">
        <x:v>1</x:v>
      </x:c>
      <x:c r="N5" s="46" t="n">
        <x:v>1</x:v>
      </x:c>
      <x:c r="O5" s="20" t="str">
        <x:v>计算级复现（当前冻结历史路线）</x:v>
      </x:c>
      <x:c r="P5" s="20" t="str">
        <x:v>100*abs(f_full-f_red)/f_full</x:v>
      </x:c>
      <x:c r="Q5" s="20" t="str">
        <x:v>input/board17/outputs/global_routes_matlab.mat</x:v>
      </x:c>
      <x:c r="R5" s="20" t="str">
        <x:v>A58A830134259585ECD091BA37B3A69640E79D3AA10B5094E106F2EC01ED56ED</x:v>
      </x:c>
      <x:c r="S5" s="46" t="n">
        <x:f>IF(H5&lt;='论文合同'!$B$6,1,0)</x:f>
        <x:v>1</x:v>
      </x:c>
      <x:c r="T5" s="46" t="n">
        <x:v>1</x:v>
      </x:c>
    </x:row>
    <x:row r="6">
      <x:c r="A6" s="20" t="str">
        <x:v>T3-1-D1-G-M2</x:v>
      </x:c>
      <x:c r="B6" s="20" t="str">
        <x:v>T3-1</x:v>
      </x:c>
      <x:c r="C6" s="20" t="str">
        <x:v>1；第2阶</x:v>
      </x:c>
      <x:c r="D6" s="20" t="str">
        <x:v>Guyan</x:v>
      </x:c>
      <x:c r="E6" s="20" t="str">
        <x:v>historical_single_sided</x:v>
      </x:c>
      <x:c r="F6" s="40" t="n">
        <x:f>'表3-1计算'!G6</x:f>
        <x:v>5.411237395801741</x:v>
      </x:c>
      <x:c r="G6" s="29" t="n">
        <x:v>5.411237395801741</x:v>
      </x:c>
      <x:c r="H6" s="29" t="n">
        <x:f>ABS(F6-G6)</x:f>
        <x:v>0</x:v>
      </x:c>
      <x:c r="I6" s="29" t="n">
        <x:v>5.411</x:v>
      </x:c>
      <x:c r="J6" s="43" t="n">
        <x:v>3</x:v>
      </x:c>
      <x:c r="K6" s="40" t="n">
        <x:f>ROUND(F6,J6)</x:f>
        <x:v>5.411</x:v>
      </x:c>
      <x:c r="L6" s="44" t="n">
        <x:f>IF(ABS(K6-I6)&lt;='论文合同'!$B$5,1,0)</x:f>
        <x:v>1</x:v>
      </x:c>
      <x:c r="M6" s="46" t="n">
        <x:v>1</x:v>
      </x:c>
      <x:c r="N6" s="46" t="n">
        <x:v>1</x:v>
      </x:c>
      <x:c r="O6" s="20" t="str">
        <x:v>计算级复现（当前冻结历史路线）</x:v>
      </x:c>
      <x:c r="P6" s="20" t="str">
        <x:v>100*abs(f_full-f_red)/f_full</x:v>
      </x:c>
      <x:c r="Q6" s="20" t="str">
        <x:v>input/board17/outputs/global_routes_matlab.mat</x:v>
      </x:c>
      <x:c r="R6" s="20" t="str">
        <x:v>A58A830134259585ECD091BA37B3A69640E79D3AA10B5094E106F2EC01ED56ED</x:v>
      </x:c>
      <x:c r="S6" s="46" t="n">
        <x:f>IF(H6&lt;='论文合同'!$B$6,1,0)</x:f>
        <x:v>1</x:v>
      </x:c>
      <x:c r="T6" s="46" t="n">
        <x:v>1</x:v>
      </x:c>
    </x:row>
    <x:row r="7">
      <x:c r="A7" s="20" t="str">
        <x:v>T3-1-D1-CB-M1</x:v>
      </x:c>
      <x:c r="B7" s="20" t="str">
        <x:v>T3-1</x:v>
      </x:c>
      <x:c r="C7" s="20" t="str">
        <x:v>1；第1阶</x:v>
      </x:c>
      <x:c r="D7" s="20" t="str">
        <x:v>Craig-Bampton</x:v>
      </x:c>
      <x:c r="E7" s="20" t="str">
        <x:v>sorted_cb</x:v>
      </x:c>
      <x:c r="F7" s="40" t="n">
        <x:f>'表3-1计算'!G7</x:f>
        <x:v>0.002527954982897537</x:v>
      </x:c>
      <x:c r="G7" s="29" t="n">
        <x:v>0.002527954982897537</x:v>
      </x:c>
      <x:c r="H7" s="29" t="n">
        <x:f>ABS(F7-G7)</x:f>
        <x:v>0</x:v>
      </x:c>
      <x:c r="I7" s="29" t="n">
        <x:v>0.003</x:v>
      </x:c>
      <x:c r="J7" s="43" t="n">
        <x:v>3</x:v>
      </x:c>
      <x:c r="K7" s="40" t="n">
        <x:f>ROUND(F7,J7)</x:f>
        <x:v>0.003</x:v>
      </x:c>
      <x:c r="L7" s="44" t="n">
        <x:f>IF(ABS(K7-I7)&lt;='论文合同'!$B$5,1,0)</x:f>
        <x:v>1</x:v>
      </x:c>
      <x:c r="M7" s="46" t="n">
        <x:v>1</x:v>
      </x:c>
      <x:c r="N7" s="46" t="n">
        <x:v>1</x:v>
      </x:c>
      <x:c r="O7" s="20" t="str">
        <x:v>计算级复现（当前冻结历史路线）</x:v>
      </x:c>
      <x:c r="P7" s="20" t="str">
        <x:v>100*abs(f_full-f_red)/f_full</x:v>
      </x:c>
      <x:c r="Q7" s="20" t="str">
        <x:v>input/board17/outputs/global_routes_matlab.mat</x:v>
      </x:c>
      <x:c r="R7" s="20" t="str">
        <x:v>A58A830134259585ECD091BA37B3A69640E79D3AA10B5094E106F2EC01ED56ED</x:v>
      </x:c>
      <x:c r="S7" s="46" t="n">
        <x:f>IF(H7&lt;='论文合同'!$B$6,1,0)</x:f>
        <x:v>1</x:v>
      </x:c>
      <x:c r="T7" s="46" t="n">
        <x:v>1</x:v>
      </x:c>
    </x:row>
    <x:row r="8">
      <x:c r="A8" s="20" t="str">
        <x:v>T3-1-D1-CB-M2</x:v>
      </x:c>
      <x:c r="B8" s="20" t="str">
        <x:v>T3-1</x:v>
      </x:c>
      <x:c r="C8" s="20" t="str">
        <x:v>1；第2阶</x:v>
      </x:c>
      <x:c r="D8" s="20" t="str">
        <x:v>Craig-Bampton</x:v>
      </x:c>
      <x:c r="E8" s="20" t="str">
        <x:v>sorted_cb</x:v>
      </x:c>
      <x:c r="F8" s="40" t="n">
        <x:f>'表3-1计算'!G8</x:f>
        <x:v>0.28422365599404037</x:v>
      </x:c>
      <x:c r="G8" s="29" t="n">
        <x:v>0.28422365599404037</x:v>
      </x:c>
      <x:c r="H8" s="29" t="n">
        <x:f>ABS(F8-G8)</x:f>
        <x:v>0</x:v>
      </x:c>
      <x:c r="I8" s="29" t="n">
        <x:v>0.284</x:v>
      </x:c>
      <x:c r="J8" s="43" t="n">
        <x:v>3</x:v>
      </x:c>
      <x:c r="K8" s="40" t="n">
        <x:f>ROUND(F8,J8)</x:f>
        <x:v>0.284</x:v>
      </x:c>
      <x:c r="L8" s="44" t="n">
        <x:f>IF(ABS(K8-I8)&lt;='论文合同'!$B$5,1,0)</x:f>
        <x:v>1</x:v>
      </x:c>
      <x:c r="M8" s="46" t="n">
        <x:v>1</x:v>
      </x:c>
      <x:c r="N8" s="46" t="n">
        <x:v>1</x:v>
      </x:c>
      <x:c r="O8" s="20" t="str">
        <x:v>计算级复现（当前冻结历史路线）</x:v>
      </x:c>
      <x:c r="P8" s="20" t="str">
        <x:v>100*abs(f_full-f_red)/f_full</x:v>
      </x:c>
      <x:c r="Q8" s="20" t="str">
        <x:v>input/board17/outputs/global_routes_matlab.mat</x:v>
      </x:c>
      <x:c r="R8" s="20" t="str">
        <x:v>A58A830134259585ECD091BA37B3A69640E79D3AA10B5094E106F2EC01ED56ED</x:v>
      </x:c>
      <x:c r="S8" s="46" t="n">
        <x:f>IF(H8&lt;='论文合同'!$B$6,1,0)</x:f>
        <x:v>1</x:v>
      </x:c>
      <x:c r="T8" s="46" t="n">
        <x:v>1</x:v>
      </x:c>
    </x:row>
    <x:row r="9">
      <x:c r="A9" s="20" t="str">
        <x:v>T3-1-D2-G-M1</x:v>
      </x:c>
      <x:c r="B9" s="20" t="str">
        <x:v>T3-1</x:v>
      </x:c>
      <x:c r="C9" s="20" t="str">
        <x:v>2；第1阶</x:v>
      </x:c>
      <x:c r="D9" s="20" t="str">
        <x:v>Guyan</x:v>
      </x:c>
      <x:c r="E9" s="20" t="str">
        <x:v>historical_single_sided</x:v>
      </x:c>
      <x:c r="F9" s="40" t="n">
        <x:f>'表3-1计算'!G9</x:f>
        <x:v>19.03999595057621</x:v>
      </x:c>
      <x:c r="G9" s="29" t="n">
        <x:v>19.03999595057621</x:v>
      </x:c>
      <x:c r="H9" s="29" t="n">
        <x:f>ABS(F9-G9)</x:f>
        <x:v>0</x:v>
      </x:c>
      <x:c r="I9" s="29" t="n">
        <x:v>13.04</x:v>
      </x:c>
      <x:c r="J9" s="43" t="n">
        <x:v>3</x:v>
      </x:c>
      <x:c r="K9" s="40" t="n">
        <x:f>ROUND(F9,J9)</x:f>
        <x:v>19.04</x:v>
      </x:c>
      <x:c r="L9" s="45" t="n">
        <x:f>IF(ABS(K9-I9)&lt;='论文合同'!$B$5,1,0)</x:f>
        <x:v>0</x:v>
      </x:c>
      <x:c r="M9" s="46" t="n">
        <x:v>0</x:v>
      </x:c>
      <x:c r="N9" s="46" t="n">
        <x:v>1</x:v>
      </x:c>
      <x:c r="O9" s="20" t="str">
        <x:v>历史值/待决定</x:v>
      </x:c>
      <x:c r="P9" s="20" t="str">
        <x:v>100*abs(f_full-f_red)/f_full</x:v>
      </x:c>
      <x:c r="Q9" s="20" t="str">
        <x:v>input/board17/outputs/global_routes_matlab.mat</x:v>
      </x:c>
      <x:c r="R9" s="20" t="str">
        <x:v>A58A830134259585ECD091BA37B3A69640E79D3AA10B5094E106F2EC01ED56ED</x:v>
      </x:c>
      <x:c r="S9" s="46" t="n">
        <x:f>IF(H9&lt;='论文合同'!$B$6,1,0)</x:f>
        <x:v>1</x:v>
      </x:c>
      <x:c r="T9" s="46" t="n">
        <x:v>1</x:v>
      </x:c>
    </x:row>
    <x:row r="10">
      <x:c r="A10" s="20" t="str">
        <x:v>T3-1-D2-G-M2</x:v>
      </x:c>
      <x:c r="B10" s="20" t="str">
        <x:v>T3-1</x:v>
      </x:c>
      <x:c r="C10" s="20" t="str">
        <x:v>2；第2阶</x:v>
      </x:c>
      <x:c r="D10" s="20" t="str">
        <x:v>Guyan</x:v>
      </x:c>
      <x:c r="E10" s="20" t="str">
        <x:v>historical_single_sided</x:v>
      </x:c>
      <x:c r="F10" s="40" t="n">
        <x:f>'表3-1计算'!G10</x:f>
        <x:v>30.574461103056056</x:v>
      </x:c>
      <x:c r="G10" s="29" t="n">
        <x:v>30.574461103056056</x:v>
      </x:c>
      <x:c r="H10" s="29" t="n">
        <x:f>ABS(F10-G10)</x:f>
        <x:v>0</x:v>
      </x:c>
      <x:c r="I10" s="29" t="n">
        <x:v>24.575</x:v>
      </x:c>
      <x:c r="J10" s="43" t="n">
        <x:v>3</x:v>
      </x:c>
      <x:c r="K10" s="40" t="n">
        <x:f>ROUND(F10,J10)</x:f>
        <x:v>30.574</x:v>
      </x:c>
      <x:c r="L10" s="45" t="n">
        <x:f>IF(ABS(K10-I10)&lt;='论文合同'!$B$5,1,0)</x:f>
        <x:v>0</x:v>
      </x:c>
      <x:c r="M10" s="46" t="n">
        <x:v>0</x:v>
      </x:c>
      <x:c r="N10" s="46" t="n">
        <x:v>1</x:v>
      </x:c>
      <x:c r="O10" s="20" t="str">
        <x:v>历史值/待决定</x:v>
      </x:c>
      <x:c r="P10" s="20" t="str">
        <x:v>100*abs(f_full-f_red)/f_full</x:v>
      </x:c>
      <x:c r="Q10" s="20" t="str">
        <x:v>input/board17/outputs/global_routes_matlab.mat</x:v>
      </x:c>
      <x:c r="R10" s="20" t="str">
        <x:v>A58A830134259585ECD091BA37B3A69640E79D3AA10B5094E106F2EC01ED56ED</x:v>
      </x:c>
      <x:c r="S10" s="46" t="n">
        <x:f>IF(H10&lt;='论文合同'!$B$6,1,0)</x:f>
        <x:v>1</x:v>
      </x:c>
      <x:c r="T10" s="46" t="n">
        <x:v>1</x:v>
      </x:c>
    </x:row>
    <x:row r="11">
      <x:c r="A11" s="20" t="str">
        <x:v>T3-1-D2-CB-M1</x:v>
      </x:c>
      <x:c r="B11" s="20" t="str">
        <x:v>T3-1</x:v>
      </x:c>
      <x:c r="C11" s="20" t="str">
        <x:v>2；第1阶</x:v>
      </x:c>
      <x:c r="D11" s="20" t="str">
        <x:v>Craig-Bampton</x:v>
      </x:c>
      <x:c r="E11" s="20" t="str">
        <x:v>sorted_cb</x:v>
      </x:c>
      <x:c r="F11" s="40" t="n">
        <x:f>'表3-1计算'!G11</x:f>
        <x:v>0.023820148540925432</x:v>
      </x:c>
      <x:c r="G11" s="29" t="n">
        <x:v>0.023820148540925432</x:v>
      </x:c>
      <x:c r="H11" s="29" t="n">
        <x:f>ABS(F11-G11)</x:f>
        <x:v>0</x:v>
      </x:c>
      <x:c r="I11" s="29" t="n">
        <x:v>0.007</x:v>
      </x:c>
      <x:c r="J11" s="43" t="n">
        <x:v>3</x:v>
      </x:c>
      <x:c r="K11" s="40" t="n">
        <x:f>ROUND(F11,J11)</x:f>
        <x:v>0.024</x:v>
      </x:c>
      <x:c r="L11" s="45" t="n">
        <x:f>IF(ABS(K11-I11)&lt;='论文合同'!$B$5,1,0)</x:f>
        <x:v>0</x:v>
      </x:c>
      <x:c r="M11" s="46" t="n">
        <x:v>0</x:v>
      </x:c>
      <x:c r="N11" s="46" t="n">
        <x:v>1</x:v>
      </x:c>
      <x:c r="O11" s="20" t="str">
        <x:v>历史值/待决定</x:v>
      </x:c>
      <x:c r="P11" s="20" t="str">
        <x:v>100*abs(f_full-f_red)/f_full</x:v>
      </x:c>
      <x:c r="Q11" s="20" t="str">
        <x:v>input/board17/outputs/global_routes_matlab.mat</x:v>
      </x:c>
      <x:c r="R11" s="20" t="str">
        <x:v>A58A830134259585ECD091BA37B3A69640E79D3AA10B5094E106F2EC01ED56ED</x:v>
      </x:c>
      <x:c r="S11" s="46" t="n">
        <x:f>IF(H11&lt;='论文合同'!$B$6,1,0)</x:f>
        <x:v>1</x:v>
      </x:c>
      <x:c r="T11" s="46" t="n">
        <x:v>1</x:v>
      </x:c>
    </x:row>
    <x:row r="12">
      <x:c r="A12" s="20" t="str">
        <x:v>T3-1-D2-CB-M2</x:v>
      </x:c>
      <x:c r="B12" s="20" t="str">
        <x:v>T3-1</x:v>
      </x:c>
      <x:c r="C12" s="20" t="str">
        <x:v>2；第2阶</x:v>
      </x:c>
      <x:c r="D12" s="20" t="str">
        <x:v>Craig-Bampton</x:v>
      </x:c>
      <x:c r="E12" s="20" t="str">
        <x:v>sorted_cb</x:v>
      </x:c>
      <x:c r="F12" s="40" t="n">
        <x:f>'表3-1计算'!G12</x:f>
        <x:v>0.10778483798077232</x:v>
      </x:c>
      <x:c r="G12" s="29" t="n">
        <x:v>0.10778483798077232</x:v>
      </x:c>
      <x:c r="H12" s="29" t="n">
        <x:f>ABS(F12-G12)</x:f>
        <x:v>0</x:v>
      </x:c>
      <x:c r="I12" s="29" t="n">
        <x:v>0.834</x:v>
      </x:c>
      <x:c r="J12" s="43" t="n">
        <x:v>3</x:v>
      </x:c>
      <x:c r="K12" s="40" t="n">
        <x:f>ROUND(F12,J12)</x:f>
        <x:v>0.108</x:v>
      </x:c>
      <x:c r="L12" s="45" t="n">
        <x:f>IF(ABS(K12-I12)&lt;='论文合同'!$B$5,1,0)</x:f>
        <x:v>0</x:v>
      </x:c>
      <x:c r="M12" s="46" t="n">
        <x:v>0</x:v>
      </x:c>
      <x:c r="N12" s="46" t="n">
        <x:v>1</x:v>
      </x:c>
      <x:c r="O12" s="20" t="str">
        <x:v>历史值/待决定</x:v>
      </x:c>
      <x:c r="P12" s="20" t="str">
        <x:v>100*abs(f_full-f_red)/f_full</x:v>
      </x:c>
      <x:c r="Q12" s="20" t="str">
        <x:v>input/board17/outputs/global_routes_matlab.mat</x:v>
      </x:c>
      <x:c r="R12" s="20" t="str">
        <x:v>A58A830134259585ECD091BA37B3A69640E79D3AA10B5094E106F2EC01ED56ED</x:v>
      </x:c>
      <x:c r="S12" s="46" t="n">
        <x:f>IF(H12&lt;='论文合同'!$B$6,1,0)</x:f>
        <x:v>1</x:v>
      </x:c>
      <x:c r="T12" s="46" t="n">
        <x:v>1</x:v>
      </x:c>
    </x:row>
    <x:row r="13">
      <x:c r="A13" s="20" t="str">
        <x:v>T3-2-D1-G-M1</x:v>
      </x:c>
      <x:c r="B13" s="20" t="str">
        <x:v>T3-2</x:v>
      </x:c>
      <x:c r="C13" s="20" t="str">
        <x:v>1；第1阶</x:v>
      </x:c>
      <x:c r="D13" s="20" t="str">
        <x:v>Guyan</x:v>
      </x:c>
      <x:c r="E13" s="20" t="str">
        <x:v>boundary_correct_master</x:v>
      </x:c>
      <x:c r="F13" s="40" t="n">
        <x:f>'表3-2计算'!H5</x:f>
        <x:v>0.9999966585085782</x:v>
      </x:c>
      <x:c r="G13" s="29" t="n">
        <x:v>0.9999966585085782</x:v>
      </x:c>
      <x:c r="H13" s="29" t="n">
        <x:f>ABS(F13-G13)</x:f>
        <x:v>0</x:v>
      </x:c>
      <x:c r="I13" s="29" t="n">
        <x:v>1</x:v>
      </x:c>
      <x:c r="J13" s="43" t="n">
        <x:v>4</x:v>
      </x:c>
      <x:c r="K13" s="40" t="n">
        <x:f>ROUND(F13,J13)</x:f>
        <x:v>1</x:v>
      </x:c>
      <x:c r="L13" s="44" t="n">
        <x:f>IF(ABS(K13-I13)&lt;='论文合同'!$B$5,1,0)</x:f>
        <x:v>1</x:v>
      </x:c>
      <x:c r="M13" s="46" t="n">
        <x:v>1</x:v>
      </x:c>
      <x:c r="N13" s="46" t="n">
        <x:v>1</x:v>
      </x:c>
      <x:c r="O13" s="20" t="str">
        <x:v>计算级复现（正确保留坐标历史口径）</x:v>
      </x:c>
      <x:c r="P13" s="20" t="str">
        <x:v>abs(phi_full.T@phi_red)^2/((phi_full.T@phi_full)*(phi_red.T@phi_red))</x:v>
      </x:c>
      <x:c r="Q13" s="20" t="str">
        <x:v>input/board17/outputs/global_routes_matlab.mat</x:v>
      </x:c>
      <x:c r="R13" s="20" t="str">
        <x:v>A58A830134259585ECD091BA37B3A69640E79D3AA10B5094E106F2EC01ED56ED</x:v>
      </x:c>
      <x:c r="S13" s="46" t="n">
        <x:f>IF(H13&lt;='论文合同'!$B$6,1,0)</x:f>
        <x:v>1</x:v>
      </x:c>
      <x:c r="T13" s="46" t="n">
        <x:v>1</x:v>
      </x:c>
    </x:row>
    <x:row r="14">
      <x:c r="A14" s="20" t="str">
        <x:v>T3-2-D1-G-M2</x:v>
      </x:c>
      <x:c r="B14" s="20" t="str">
        <x:v>T3-2</x:v>
      </x:c>
      <x:c r="C14" s="20" t="str">
        <x:v>1；第2阶</x:v>
      </x:c>
      <x:c r="D14" s="20" t="str">
        <x:v>Guyan</x:v>
      </x:c>
      <x:c r="E14" s="20" t="str">
        <x:v>boundary_correct_master</x:v>
      </x:c>
      <x:c r="F14" s="40" t="n">
        <x:f>'表3-2计算'!H6</x:f>
        <x:v>0.9997727680699968</x:v>
      </x:c>
      <x:c r="G14" s="29" t="n">
        <x:v>0.9997727680699968</x:v>
      </x:c>
      <x:c r="H14" s="29" t="n">
        <x:f>ABS(F14-G14)</x:f>
        <x:v>0</x:v>
      </x:c>
      <x:c r="I14" s="29" t="n">
        <x:v>0.9998</x:v>
      </x:c>
      <x:c r="J14" s="43" t="n">
        <x:v>4</x:v>
      </x:c>
      <x:c r="K14" s="40" t="n">
        <x:f>ROUND(F14,J14)</x:f>
        <x:v>0.9998</x:v>
      </x:c>
      <x:c r="L14" s="44" t="n">
        <x:f>IF(ABS(K14-I14)&lt;='论文合同'!$B$5,1,0)</x:f>
        <x:v>1</x:v>
      </x:c>
      <x:c r="M14" s="46" t="n">
        <x:v>1</x:v>
      </x:c>
      <x:c r="N14" s="46" t="n">
        <x:v>1</x:v>
      </x:c>
      <x:c r="O14" s="20" t="str">
        <x:v>计算级复现（正确保留坐标历史口径）</x:v>
      </x:c>
      <x:c r="P14" s="20" t="str">
        <x:v>abs(phi_full.T@phi_red)^2/((phi_full.T@phi_full)*(phi_red.T@phi_red))</x:v>
      </x:c>
      <x:c r="Q14" s="20" t="str">
        <x:v>input/board17/outputs/global_routes_matlab.mat</x:v>
      </x:c>
      <x:c r="R14" s="20" t="str">
        <x:v>A58A830134259585ECD091BA37B3A69640E79D3AA10B5094E106F2EC01ED56ED</x:v>
      </x:c>
      <x:c r="S14" s="46" t="n">
        <x:f>IF(H14&lt;='论文合同'!$B$6,1,0)</x:f>
        <x:v>1</x:v>
      </x:c>
      <x:c r="T14" s="46" t="n">
        <x:v>1</x:v>
      </x:c>
    </x:row>
    <x:row r="15">
      <x:c r="A15" s="20" t="str">
        <x:v>T3-2-D1-CB-M1</x:v>
      </x:c>
      <x:c r="B15" s="20" t="str">
        <x:v>T3-2</x:v>
      </x:c>
      <x:c r="C15" s="20" t="str">
        <x:v>1；第1阶</x:v>
      </x:c>
      <x:c r="D15" s="20" t="str">
        <x:v>Craig-Bampton</x:v>
      </x:c>
      <x:c r="E15" s="20" t="str">
        <x:v>boundary_correct_master</x:v>
      </x:c>
      <x:c r="F15" s="40" t="n">
        <x:f>'表3-2计算'!H7</x:f>
        <x:v>0.9999999999676727</x:v>
      </x:c>
      <x:c r="G15" s="29" t="n">
        <x:v>0.9999999999676727</x:v>
      </x:c>
      <x:c r="H15" s="29" t="n">
        <x:f>ABS(F15-G15)</x:f>
        <x:v>0</x:v>
      </x:c>
      <x:c r="I15" s="29" t="n">
        <x:v>1</x:v>
      </x:c>
      <x:c r="J15" s="43" t="n">
        <x:v>4</x:v>
      </x:c>
      <x:c r="K15" s="40" t="n">
        <x:f>ROUND(F15,J15)</x:f>
        <x:v>1</x:v>
      </x:c>
      <x:c r="L15" s="44" t="n">
        <x:f>IF(ABS(K15-I15)&lt;='论文合同'!$B$5,1,0)</x:f>
        <x:v>1</x:v>
      </x:c>
      <x:c r="M15" s="46" t="n">
        <x:v>1</x:v>
      </x:c>
      <x:c r="N15" s="46" t="n">
        <x:v>1</x:v>
      </x:c>
      <x:c r="O15" s="20" t="str">
        <x:v>计算级复现（正确保留坐标历史口径）</x:v>
      </x:c>
      <x:c r="P15" s="20" t="str">
        <x:v>abs(phi_full.T@phi_red)^2/((phi_full.T@phi_full)*(phi_red.T@phi_red))</x:v>
      </x:c>
      <x:c r="Q15" s="20" t="str">
        <x:v>input/board17/outputs/global_routes_matlab.mat</x:v>
      </x:c>
      <x:c r="R15" s="20" t="str">
        <x:v>A58A830134259585ECD091BA37B3A69640E79D3AA10B5094E106F2EC01ED56ED</x:v>
      </x:c>
      <x:c r="S15" s="46" t="n">
        <x:f>IF(H15&lt;='论文合同'!$B$6,1,0)</x:f>
        <x:v>1</x:v>
      </x:c>
      <x:c r="T15" s="46" t="n">
        <x:v>1</x:v>
      </x:c>
    </x:row>
    <x:row r="16">
      <x:c r="A16" s="20" t="str">
        <x:v>T3-2-D1-CB-M2</x:v>
      </x:c>
      <x:c r="B16" s="20" t="str">
        <x:v>T3-2</x:v>
      </x:c>
      <x:c r="C16" s="20" t="str">
        <x:v>1；第2阶</x:v>
      </x:c>
      <x:c r="D16" s="20" t="str">
        <x:v>Craig-Bampton</x:v>
      </x:c>
      <x:c r="E16" s="20" t="str">
        <x:v>boundary_correct_master</x:v>
      </x:c>
      <x:c r="F16" s="40" t="n">
        <x:f>'表3-2计算'!H8</x:f>
        <x:v>0.9999996674405369</x:v>
      </x:c>
      <x:c r="G16" s="29" t="n">
        <x:v>0.9999996674405369</x:v>
      </x:c>
      <x:c r="H16" s="29" t="n">
        <x:f>ABS(F16-G16)</x:f>
        <x:v>0</x:v>
      </x:c>
      <x:c r="I16" s="29" t="n">
        <x:v>1</x:v>
      </x:c>
      <x:c r="J16" s="43" t="n">
        <x:v>4</x:v>
      </x:c>
      <x:c r="K16" s="40" t="n">
        <x:f>ROUND(F16,J16)</x:f>
        <x:v>1</x:v>
      </x:c>
      <x:c r="L16" s="44" t="n">
        <x:f>IF(ABS(K16-I16)&lt;='论文合同'!$B$5,1,0)</x:f>
        <x:v>1</x:v>
      </x:c>
      <x:c r="M16" s="46" t="n">
        <x:v>1</x:v>
      </x:c>
      <x:c r="N16" s="46" t="n">
        <x:v>1</x:v>
      </x:c>
      <x:c r="O16" s="20" t="str">
        <x:v>计算级复现（正确保留坐标历史口径）</x:v>
      </x:c>
      <x:c r="P16" s="20" t="str">
        <x:v>abs(phi_full.T@phi_red)^2/((phi_full.T@phi_full)*(phi_red.T@phi_red))</x:v>
      </x:c>
      <x:c r="Q16" s="20" t="str">
        <x:v>input/board17/outputs/global_routes_matlab.mat</x:v>
      </x:c>
      <x:c r="R16" s="20" t="str">
        <x:v>A58A830134259585ECD091BA37B3A69640E79D3AA10B5094E106F2EC01ED56ED</x:v>
      </x:c>
      <x:c r="S16" s="46" t="n">
        <x:f>IF(H16&lt;='论文合同'!$B$6,1,0)</x:f>
        <x:v>1</x:v>
      </x:c>
      <x:c r="T16" s="46" t="n">
        <x:v>1</x:v>
      </x:c>
    </x:row>
    <x:row r="17">
      <x:c r="A17" s="20" t="str">
        <x:v>T3-2-D2-G-M1</x:v>
      </x:c>
      <x:c r="B17" s="20" t="str">
        <x:v>T3-2</x:v>
      </x:c>
      <x:c r="C17" s="20" t="str">
        <x:v>2；第1阶</x:v>
      </x:c>
      <x:c r="D17" s="20" t="str">
        <x:v>Guyan</x:v>
      </x:c>
      <x:c r="E17" s="20" t="str">
        <x:v>boundary_correct_master</x:v>
      </x:c>
      <x:c r="F17" s="40" t="n">
        <x:f>'表3-2计算'!H9</x:f>
        <x:v>0.9961675456844347</x:v>
      </x:c>
      <x:c r="G17" s="29" t="n">
        <x:v>0.9961675456844347</x:v>
      </x:c>
      <x:c r="H17" s="29" t="n">
        <x:f>ABS(F17-G17)</x:f>
        <x:v>0</x:v>
      </x:c>
      <x:c r="I17" s="29" t="n">
        <x:v>0.9962</x:v>
      </x:c>
      <x:c r="J17" s="43" t="n">
        <x:v>4</x:v>
      </x:c>
      <x:c r="K17" s="40" t="n">
        <x:f>ROUND(F17,J17)</x:f>
        <x:v>0.9962</x:v>
      </x:c>
      <x:c r="L17" s="44" t="n">
        <x:f>IF(ABS(K17-I17)&lt;='论文合同'!$B$5,1,0)</x:f>
        <x:v>1</x:v>
      </x:c>
      <x:c r="M17" s="46" t="n">
        <x:v>1</x:v>
      </x:c>
      <x:c r="N17" s="46" t="n">
        <x:v>1</x:v>
      </x:c>
      <x:c r="O17" s="20" t="str">
        <x:v>计算级复现（正确保留坐标历史口径）</x:v>
      </x:c>
      <x:c r="P17" s="20" t="str">
        <x:v>abs(phi_full.T@phi_red)^2/((phi_full.T@phi_full)*(phi_red.T@phi_red))</x:v>
      </x:c>
      <x:c r="Q17" s="20" t="str">
        <x:v>input/board17/outputs/global_routes_matlab.mat</x:v>
      </x:c>
      <x:c r="R17" s="20" t="str">
        <x:v>A58A830134259585ECD091BA37B3A69640E79D3AA10B5094E106F2EC01ED56ED</x:v>
      </x:c>
      <x:c r="S17" s="46" t="n">
        <x:f>IF(H17&lt;='论文合同'!$B$6,1,0)</x:f>
        <x:v>1</x:v>
      </x:c>
      <x:c r="T17" s="46" t="n">
        <x:v>1</x:v>
      </x:c>
    </x:row>
    <x:row r="18">
      <x:c r="A18" s="20" t="str">
        <x:v>T3-2-D2-G-M2</x:v>
      </x:c>
      <x:c r="B18" s="20" t="str">
        <x:v>T3-2</x:v>
      </x:c>
      <x:c r="C18" s="20" t="str">
        <x:v>2；第2阶</x:v>
      </x:c>
      <x:c r="D18" s="20" t="str">
        <x:v>Guyan</x:v>
      </x:c>
      <x:c r="E18" s="20" t="str">
        <x:v>boundary_correct_master</x:v>
      </x:c>
      <x:c r="F18" s="40" t="n">
        <x:f>'表3-2计算'!H10</x:f>
        <x:v>0.9254993073696836</x:v>
      </x:c>
      <x:c r="G18" s="29" t="n">
        <x:v>0.9254993073696836</x:v>
      </x:c>
      <x:c r="H18" s="29" t="n">
        <x:f>ABS(F18-G18)</x:f>
        <x:v>0</x:v>
      </x:c>
      <x:c r="I18" s="29" t="n">
        <x:v>0.9255</x:v>
      </x:c>
      <x:c r="J18" s="43" t="n">
        <x:v>4</x:v>
      </x:c>
      <x:c r="K18" s="40" t="n">
        <x:f>ROUND(F18,J18)</x:f>
        <x:v>0.9255</x:v>
      </x:c>
      <x:c r="L18" s="44" t="n">
        <x:f>IF(ABS(K18-I18)&lt;='论文合同'!$B$5,1,0)</x:f>
        <x:v>1</x:v>
      </x:c>
      <x:c r="M18" s="46" t="n">
        <x:v>1</x:v>
      </x:c>
      <x:c r="N18" s="46" t="n">
        <x:v>1</x:v>
      </x:c>
      <x:c r="O18" s="20" t="str">
        <x:v>计算级复现（正确保留坐标历史口径）</x:v>
      </x:c>
      <x:c r="P18" s="20" t="str">
        <x:v>abs(phi_full.T@phi_red)^2/((phi_full.T@phi_full)*(phi_red.T@phi_red))</x:v>
      </x:c>
      <x:c r="Q18" s="20" t="str">
        <x:v>input/board17/outputs/global_routes_matlab.mat</x:v>
      </x:c>
      <x:c r="R18" s="20" t="str">
        <x:v>A58A830134259585ECD091BA37B3A69640E79D3AA10B5094E106F2EC01ED56ED</x:v>
      </x:c>
      <x:c r="S18" s="46" t="n">
        <x:f>IF(H18&lt;='论文合同'!$B$6,1,0)</x:f>
        <x:v>1</x:v>
      </x:c>
      <x:c r="T18" s="46" t="n">
        <x:v>1</x:v>
      </x:c>
    </x:row>
    <x:row r="19">
      <x:c r="A19" s="20" t="str">
        <x:v>T3-2-D2-CB-M1</x:v>
      </x:c>
      <x:c r="B19" s="20" t="str">
        <x:v>T3-2</x:v>
      </x:c>
      <x:c r="C19" s="20" t="str">
        <x:v>2；第1阶</x:v>
      </x:c>
      <x:c r="D19" s="20" t="str">
        <x:v>Craig-Bampton</x:v>
      </x:c>
      <x:c r="E19" s="20" t="str">
        <x:v>boundary_correct_master</x:v>
      </x:c>
      <x:c r="F19" s="40" t="n">
        <x:f>'表3-2计算'!H11</x:f>
        <x:v>0.9999999998170523</x:v>
      </x:c>
      <x:c r="G19" s="29" t="n">
        <x:v>0.9999999998170523</x:v>
      </x:c>
      <x:c r="H19" s="29" t="n">
        <x:f>ABS(F19-G19)</x:f>
        <x:v>0</x:v>
      </x:c>
      <x:c r="I19" s="29" t="n">
        <x:v>1</x:v>
      </x:c>
      <x:c r="J19" s="43" t="n">
        <x:v>4</x:v>
      </x:c>
      <x:c r="K19" s="40" t="n">
        <x:f>ROUND(F19,J19)</x:f>
        <x:v>1</x:v>
      </x:c>
      <x:c r="L19" s="44" t="n">
        <x:f>IF(ABS(K19-I19)&lt;='论文合同'!$B$5,1,0)</x:f>
        <x:v>1</x:v>
      </x:c>
      <x:c r="M19" s="46" t="n">
        <x:v>1</x:v>
      </x:c>
      <x:c r="N19" s="46" t="n">
        <x:v>1</x:v>
      </x:c>
      <x:c r="O19" s="20" t="str">
        <x:v>计算级复现（正确保留坐标历史口径）</x:v>
      </x:c>
      <x:c r="P19" s="20" t="str">
        <x:v>abs(phi_full.T@phi_red)^2/((phi_full.T@phi_full)*(phi_red.T@phi_red))</x:v>
      </x:c>
      <x:c r="Q19" s="20" t="str">
        <x:v>input/board17/outputs/global_routes_matlab.mat</x:v>
      </x:c>
      <x:c r="R19" s="20" t="str">
        <x:v>A58A830134259585ECD091BA37B3A69640E79D3AA10B5094E106F2EC01ED56ED</x:v>
      </x:c>
      <x:c r="S19" s="46" t="n">
        <x:f>IF(H19&lt;='论文合同'!$B$6,1,0)</x:f>
        <x:v>1</x:v>
      </x:c>
      <x:c r="T19" s="46" t="n">
        <x:v>1</x:v>
      </x:c>
    </x:row>
    <x:row r="20">
      <x:c r="A20" s="20" t="str">
        <x:v>T3-2-D2-CB-M2</x:v>
      </x:c>
      <x:c r="B20" s="20" t="str">
        <x:v>T3-2</x:v>
      </x:c>
      <x:c r="C20" s="20" t="str">
        <x:v>2；第2阶</x:v>
      </x:c>
      <x:c r="D20" s="20" t="str">
        <x:v>Craig-Bampton</x:v>
      </x:c>
      <x:c r="E20" s="20" t="str">
        <x:v>boundary_correct_master</x:v>
      </x:c>
      <x:c r="F20" s="40" t="n">
        <x:f>'表3-2计算'!H12</x:f>
        <x:v>0.9999997834110754</x:v>
      </x:c>
      <x:c r="G20" s="29" t="n">
        <x:v>0.9999997834110754</x:v>
      </x:c>
      <x:c r="H20" s="29" t="n">
        <x:f>ABS(F20-G20)</x:f>
        <x:v>0</x:v>
      </x:c>
      <x:c r="I20" s="29" t="n">
        <x:v>0.9998</x:v>
      </x:c>
      <x:c r="J20" s="43" t="n">
        <x:v>4</x:v>
      </x:c>
      <x:c r="K20" s="40" t="n">
        <x:f>ROUND(F20,J20)</x:f>
        <x:v>1</x:v>
      </x:c>
      <x:c r="L20" s="45" t="n">
        <x:f>IF(ABS(K20-I20)&lt;='论文合同'!$B$5,1,0)</x:f>
        <x:v>0</x:v>
      </x:c>
      <x:c r="M20" s="46" t="n">
        <x:v>0</x:v>
      </x:c>
      <x:c r="N20" s="46" t="n">
        <x:v>1</x:v>
      </x:c>
      <x:c r="O20" s="20" t="str">
        <x:v>历史值/待决定</x:v>
      </x:c>
      <x:c r="P20" s="20" t="str">
        <x:v>abs(phi_full.T@phi_red)^2/((phi_full.T@phi_full)*(phi_red.T@phi_red))</x:v>
      </x:c>
      <x:c r="Q20" s="20" t="str">
        <x:v>input/board17/outputs/global_routes_matlab.mat</x:v>
      </x:c>
      <x:c r="R20" s="20" t="str">
        <x:v>A58A830134259585ECD091BA37B3A69640E79D3AA10B5094E106F2EC01ED56ED</x:v>
      </x:c>
      <x:c r="S20" s="46" t="n">
        <x:f>IF(H20&lt;='论文合同'!$B$6,1,0)</x:f>
        <x:v>1</x:v>
      </x:c>
      <x:c r="T20" s="46" t="n">
        <x:v>1</x:v>
      </x:c>
    </x:row>
    <x:row r="21">
      <x:c r="A21" s="20" t="str">
        <x:v>T3-3-D1-Chirp-B1-CB</x:v>
      </x:c>
      <x:c r="B21" s="20" t="str">
        <x:v>T3-3</x:v>
      </x:c>
      <x:c r="C21" s="20" t="str">
        <x:v>1；0.1-1.9 Hz；报告楼层2</x:v>
      </x:c>
      <x:c r="D21" s="20" t="str">
        <x:v>Craig-Bampton</x:v>
      </x:c>
      <x:c r="E21" s="20" t="str">
        <x:v>historical_mean_full_range；group_inferred_uniform_floor</x:v>
      </x:c>
      <x:c r="F21" s="40" t="n">
        <x:f>'表3-3计算'!K5</x:f>
        <x:v>0.00005126151346441519</x:v>
      </x:c>
      <x:c r="G21" s="29" t="n">
        <x:v>0.00005126151346441519</x:v>
      </x:c>
      <x:c r="H21" s="29" t="n">
        <x:f>ABS(F21-G21)</x:f>
        <x:v>0</x:v>
      </x:c>
      <x:c r="I21" s="29" t="n">
        <x:v>0.00005</x:v>
      </x:c>
      <x:c r="J21" s="43" t="n">
        <x:v>5</x:v>
      </x:c>
      <x:c r="K21" s="40" t="n">
        <x:f>ROUND(F21,J21)</x:f>
        <x:v>0.00005</x:v>
      </x:c>
      <x:c r="L21" s="44" t="n">
        <x:f>IF(ABS(K21-I21)&lt;='论文合同'!$B$5,1,0)</x:f>
        <x:v>1</x:v>
      </x:c>
      <x:c r="M21" s="46" t="n">
        <x:v>1</x:v>
      </x:c>
      <x:c r="N21" s="46" t="n">
        <x:v>1</x:v>
      </x:c>
      <x:c r="O21" s="20" t="str">
        <x:v>计算级复现（当前冻结响应+历史脚本口径；作者历史逐点数组待决定）</x:v>
      </x:c>
      <x:c r="P21" s="20" t="str">
        <x:v>100*sqrt(mean((x_full-x_red)^2))/(max(x_full)-min(x_full))</x:v>
      </x:c>
      <x:c r="Q21" s="20" t="str">
        <x:v>第一类划分_Chirp响应.csv</x:v>
      </x:c>
      <x:c r="R21" s="20" t="str">
        <x:v>2FDC6B5BF3B48118A51DD147ECE32B6711CEFDCD702D88EEC64CFC4E6A13DF49</x:v>
      </x:c>
      <x:c r="S21" s="46" t="n">
        <x:f>IF(H21&lt;='论文合同'!$B$6,1,0)</x:f>
        <x:v>1</x:v>
      </x:c>
      <x:c r="T21" s="46" t="n">
        <x:v>1</x:v>
      </x:c>
    </x:row>
    <x:row r="22">
      <x:c r="A22" s="20" t="str">
        <x:v>T3-3-D1-Chirp-B1-G</x:v>
      </x:c>
      <x:c r="B22" s="20" t="str">
        <x:v>T3-3</x:v>
      </x:c>
      <x:c r="C22" s="20" t="str">
        <x:v>1；0.1-1.9 Hz；报告楼层2</x:v>
      </x:c>
      <x:c r="D22" s="20" t="str">
        <x:v>Guyan</x:v>
      </x:c>
      <x:c r="E22" s="20" t="str">
        <x:v>historical_mean_full_range；group_inferred_uniform_floor</x:v>
      </x:c>
      <x:c r="F22" s="40" t="n">
        <x:f>'表3-3计算'!K6</x:f>
        <x:v>0.02950817285837224</x:v>
      </x:c>
      <x:c r="G22" s="29" t="n">
        <x:v>0.02950817285837224</x:v>
      </x:c>
      <x:c r="H22" s="29" t="n">
        <x:f>ABS(F22-G22)</x:f>
        <x:v>0</x:v>
      </x:c>
      <x:c r="I22" s="29" t="n">
        <x:v>0.0295</x:v>
      </x:c>
      <x:c r="J22" s="43" t="n">
        <x:v>4</x:v>
      </x:c>
      <x:c r="K22" s="40" t="n">
        <x:f>ROUND(F22,J22)</x:f>
        <x:v>0.0295</x:v>
      </x:c>
      <x:c r="L22" s="44" t="n">
        <x:f>IF(ABS(K22-I22)&lt;='论文合同'!$B$5,1,0)</x:f>
        <x:v>1</x:v>
      </x:c>
      <x:c r="M22" s="46" t="n">
        <x:v>1</x:v>
      </x:c>
      <x:c r="N22" s="46" t="n">
        <x:v>1</x:v>
      </x:c>
      <x:c r="O22" s="20" t="str">
        <x:v>计算级复现（当前冻结响应+历史脚本口径；作者历史逐点数组待决定）</x:v>
      </x:c>
      <x:c r="P22" s="20" t="str">
        <x:v>100*sqrt(mean((x_full-x_red)^2))/(max(x_full)-min(x_full))</x:v>
      </x:c>
      <x:c r="Q22" s="20" t="str">
        <x:v>第一类划分_Chirp响应.csv</x:v>
      </x:c>
      <x:c r="R22" s="20" t="str">
        <x:v>2FDC6B5BF3B48118A51DD147ECE32B6711CEFDCD702D88EEC64CFC4E6A13DF49</x:v>
      </x:c>
      <x:c r="S22" s="46" t="n">
        <x:f>IF(H22&lt;='论文合同'!$B$6,1,0)</x:f>
        <x:v>1</x:v>
      </x:c>
      <x:c r="T22" s="46" t="n">
        <x:v>1</x:v>
      </x:c>
    </x:row>
    <x:row r="23">
      <x:c r="A23" s="20" t="str">
        <x:v>T3-3-D1-Chirp-B2-CB</x:v>
      </x:c>
      <x:c r="B23" s="20" t="str">
        <x:v>T3-3</x:v>
      </x:c>
      <x:c r="C23" s="20" t="str">
        <x:v>1；1.9-3.5 Hz；报告楼层2</x:v>
      </x:c>
      <x:c r="D23" s="20" t="str">
        <x:v>Craig-Bampton</x:v>
      </x:c>
      <x:c r="E23" s="20" t="str">
        <x:v>historical_mean_full_range；group_inferred_uniform_floor</x:v>
      </x:c>
      <x:c r="F23" s="40" t="n">
        <x:f>'表3-3计算'!K7</x:f>
        <x:v>0.007913809591530192</x:v>
      </x:c>
      <x:c r="G23" s="29" t="n">
        <x:v>0.007913809591530192</x:v>
      </x:c>
      <x:c r="H23" s="29" t="n">
        <x:f>ABS(F23-G23)</x:f>
        <x:v>0</x:v>
      </x:c>
      <x:c r="I23" s="29" t="n">
        <x:v>0.0079</x:v>
      </x:c>
      <x:c r="J23" s="43" t="n">
        <x:v>4</x:v>
      </x:c>
      <x:c r="K23" s="40" t="n">
        <x:f>ROUND(F23,J23)</x:f>
        <x:v>0.0079</x:v>
      </x:c>
      <x:c r="L23" s="44" t="n">
        <x:f>IF(ABS(K23-I23)&lt;='论文合同'!$B$5,1,0)</x:f>
        <x:v>1</x:v>
      </x:c>
      <x:c r="M23" s="46" t="n">
        <x:v>1</x:v>
      </x:c>
      <x:c r="N23" s="46" t="n">
        <x:v>1</x:v>
      </x:c>
      <x:c r="O23" s="20" t="str">
        <x:v>计算级复现（当前冻结响应+历史脚本口径；作者历史逐点数组待决定）</x:v>
      </x:c>
      <x:c r="P23" s="20" t="str">
        <x:v>100*sqrt(mean((x_full-x_red)^2))/(max(x_full)-min(x_full))</x:v>
      </x:c>
      <x:c r="Q23" s="20" t="str">
        <x:v>第一类划分_Chirp响应.csv</x:v>
      </x:c>
      <x:c r="R23" s="20" t="str">
        <x:v>2FDC6B5BF3B48118A51DD147ECE32B6711CEFDCD702D88EEC64CFC4E6A13DF49</x:v>
      </x:c>
      <x:c r="S23" s="46" t="n">
        <x:f>IF(H23&lt;='论文合同'!$B$6,1,0)</x:f>
        <x:v>1</x:v>
      </x:c>
      <x:c r="T23" s="46" t="n">
        <x:v>1</x:v>
      </x:c>
    </x:row>
    <x:row r="24">
      <x:c r="A24" s="20" t="str">
        <x:v>T3-3-D1-Chirp-B2-G</x:v>
      </x:c>
      <x:c r="B24" s="20" t="str">
        <x:v>T3-3</x:v>
      </x:c>
      <x:c r="C24" s="20" t="str">
        <x:v>1；1.9-3.5 Hz；报告楼层2</x:v>
      </x:c>
      <x:c r="D24" s="20" t="str">
        <x:v>Guyan</x:v>
      </x:c>
      <x:c r="E24" s="20" t="str">
        <x:v>historical_mean_full_range；group_inferred_uniform_floor</x:v>
      </x:c>
      <x:c r="F24" s="40" t="n">
        <x:f>'表3-3计算'!K8</x:f>
        <x:v>1.9950043468963203</x:v>
      </x:c>
      <x:c r="G24" s="29" t="n">
        <x:v>1.9950043468963203</x:v>
      </x:c>
      <x:c r="H24" s="29" t="n">
        <x:f>ABS(F24-G24)</x:f>
        <x:v>0</x:v>
      </x:c>
      <x:c r="I24" s="29" t="n">
        <x:v>1.995</x:v>
      </x:c>
      <x:c r="J24" s="43" t="n">
        <x:v>4</x:v>
      </x:c>
      <x:c r="K24" s="40" t="n">
        <x:f>ROUND(F24,J24)</x:f>
        <x:v>1.995</x:v>
      </x:c>
      <x:c r="L24" s="44" t="n">
        <x:f>IF(ABS(K24-I24)&lt;='论文合同'!$B$5,1,0)</x:f>
        <x:v>1</x:v>
      </x:c>
      <x:c r="M24" s="46" t="n">
        <x:v>1</x:v>
      </x:c>
      <x:c r="N24" s="46" t="n">
        <x:v>1</x:v>
      </x:c>
      <x:c r="O24" s="20" t="str">
        <x:v>计算级复现（当前冻结响应+历史脚本口径；作者历史逐点数组待决定）</x:v>
      </x:c>
      <x:c r="P24" s="20" t="str">
        <x:v>100*sqrt(mean((x_full-x_red)^2))/(max(x_full)-min(x_full))</x:v>
      </x:c>
      <x:c r="Q24" s="20" t="str">
        <x:v>第一类划分_Chirp响应.csv</x:v>
      </x:c>
      <x:c r="R24" s="20" t="str">
        <x:v>2FDC6B5BF3B48118A51DD147ECE32B6711CEFDCD702D88EEC64CFC4E6A13DF49</x:v>
      </x:c>
      <x:c r="S24" s="46" t="n">
        <x:f>IF(H24&lt;='论文合同'!$B$6,1,0)</x:f>
        <x:v>1</x:v>
      </x:c>
      <x:c r="T24" s="46" t="n">
        <x:v>1</x:v>
      </x:c>
    </x:row>
    <x:row r="25">
      <x:c r="A25" s="20" t="str">
        <x:v>T3-3-D1-Chirp-B3-CB</x:v>
      </x:c>
      <x:c r="B25" s="20" t="str">
        <x:v>T3-3</x:v>
      </x:c>
      <x:c r="C25" s="20" t="str">
        <x:v>1；3.5-5.4 Hz；报告楼层2</x:v>
      </x:c>
      <x:c r="D25" s="20" t="str">
        <x:v>Craig-Bampton</x:v>
      </x:c>
      <x:c r="E25" s="20" t="str">
        <x:v>historical_mean_full_range；group_inferred_uniform_floor</x:v>
      </x:c>
      <x:c r="F25" s="40" t="n">
        <x:f>'表3-3计算'!K9</x:f>
        <x:v>0.0025540673270155407</x:v>
      </x:c>
      <x:c r="G25" s="29" t="n">
        <x:v>0.0025540673270155407</x:v>
      </x:c>
      <x:c r="H25" s="29" t="n">
        <x:f>ABS(F25-G25)</x:f>
        <x:v>0</x:v>
      </x:c>
      <x:c r="I25" s="29" t="n">
        <x:v>0.0026</x:v>
      </x:c>
      <x:c r="J25" s="43" t="n">
        <x:v>4</x:v>
      </x:c>
      <x:c r="K25" s="40" t="n">
        <x:f>ROUND(F25,J25)</x:f>
        <x:v>0.0026</x:v>
      </x:c>
      <x:c r="L25" s="44" t="n">
        <x:f>IF(ABS(K25-I25)&lt;='论文合同'!$B$5,1,0)</x:f>
        <x:v>1</x:v>
      </x:c>
      <x:c r="M25" s="46" t="n">
        <x:v>1</x:v>
      </x:c>
      <x:c r="N25" s="46" t="n">
        <x:v>1</x:v>
      </x:c>
      <x:c r="O25" s="20" t="str">
        <x:v>计算级复现（当前冻结响应+历史脚本口径；作者历史逐点数组待决定）</x:v>
      </x:c>
      <x:c r="P25" s="20" t="str">
        <x:v>100*sqrt(mean((x_full-x_red)^2))/(max(x_full)-min(x_full))</x:v>
      </x:c>
      <x:c r="Q25" s="20" t="str">
        <x:v>第一类划分_Chirp响应.csv</x:v>
      </x:c>
      <x:c r="R25" s="20" t="str">
        <x:v>2FDC6B5BF3B48118A51DD147ECE32B6711CEFDCD702D88EEC64CFC4E6A13DF49</x:v>
      </x:c>
      <x:c r="S25" s="46" t="n">
        <x:f>IF(H25&lt;='论文合同'!$B$6,1,0)</x:f>
        <x:v>1</x:v>
      </x:c>
      <x:c r="T25" s="46" t="n">
        <x:v>1</x:v>
      </x:c>
    </x:row>
    <x:row r="26">
      <x:c r="A26" s="20" t="str">
        <x:v>T3-3-D1-Chirp-B3-G</x:v>
      </x:c>
      <x:c r="B26" s="20" t="str">
        <x:v>T3-3</x:v>
      </x:c>
      <x:c r="C26" s="20" t="str">
        <x:v>1；3.5-5.4 Hz；报告楼层2</x:v>
      </x:c>
      <x:c r="D26" s="20" t="str">
        <x:v>Guyan</x:v>
      </x:c>
      <x:c r="E26" s="20" t="str">
        <x:v>historical_mean_full_range；group_inferred_uniform_floor</x:v>
      </x:c>
      <x:c r="F26" s="40" t="n">
        <x:f>'表3-3计算'!K10</x:f>
        <x:v>0.6224725667504947</x:v>
      </x:c>
      <x:c r="G26" s="29" t="n">
        <x:v>0.6224725667504947</x:v>
      </x:c>
      <x:c r="H26" s="29" t="n">
        <x:f>ABS(F26-G26)</x:f>
        <x:v>0</x:v>
      </x:c>
      <x:c r="I26" s="29" t="n">
        <x:v>0.6225</x:v>
      </x:c>
      <x:c r="J26" s="43" t="n">
        <x:v>4</x:v>
      </x:c>
      <x:c r="K26" s="40" t="n">
        <x:f>ROUND(F26,J26)</x:f>
        <x:v>0.6225</x:v>
      </x:c>
      <x:c r="L26" s="44" t="n">
        <x:f>IF(ABS(K26-I26)&lt;='论文合同'!$B$5,1,0)</x:f>
        <x:v>1</x:v>
      </x:c>
      <x:c r="M26" s="46" t="n">
        <x:v>1</x:v>
      </x:c>
      <x:c r="N26" s="46" t="n">
        <x:v>1</x:v>
      </x:c>
      <x:c r="O26" s="20" t="str">
        <x:v>计算级复现（当前冻结响应+历史脚本口径；作者历史逐点数组待决定）</x:v>
      </x:c>
      <x:c r="P26" s="20" t="str">
        <x:v>100*sqrt(mean((x_full-x_red)^2))/(max(x_full)-min(x_full))</x:v>
      </x:c>
      <x:c r="Q26" s="20" t="str">
        <x:v>第一类划分_Chirp响应.csv</x:v>
      </x:c>
      <x:c r="R26" s="20" t="str">
        <x:v>2FDC6B5BF3B48118A51DD147ECE32B6711CEFDCD702D88EEC64CFC4E6A13DF49</x:v>
      </x:c>
      <x:c r="S26" s="46" t="n">
        <x:f>IF(H26&lt;='论文合同'!$B$6,1,0)</x:f>
        <x:v>1</x:v>
      </x:c>
      <x:c r="T26" s="46" t="n">
        <x:v>1</x:v>
      </x:c>
    </x:row>
    <x:row r="27">
      <x:c r="A27" s="20" t="str">
        <x:v>T3-3-D1-Chirp-B4-CB</x:v>
      </x:c>
      <x:c r="B27" s="20" t="str">
        <x:v>T3-3</x:v>
      </x:c>
      <x:c r="C27" s="20" t="str">
        <x:v>1；5.4-8.1 Hz；报告楼层2</x:v>
      </x:c>
      <x:c r="D27" s="20" t="str">
        <x:v>Craig-Bampton</x:v>
      </x:c>
      <x:c r="E27" s="20" t="str">
        <x:v>historical_mean_full_range；group_inferred_uniform_floor</x:v>
      </x:c>
      <x:c r="F27" s="40" t="n">
        <x:f>'表3-3计算'!K11</x:f>
        <x:v>0.0028426926310600115</x:v>
      </x:c>
      <x:c r="G27" s="29" t="n">
        <x:v>0.0028426926310600115</x:v>
      </x:c>
      <x:c r="H27" s="29" t="n">
        <x:f>ABS(F27-G27)</x:f>
        <x:v>0</x:v>
      </x:c>
      <x:c r="I27" s="29" t="n">
        <x:v>0.0028</x:v>
      </x:c>
      <x:c r="J27" s="43" t="n">
        <x:v>4</x:v>
      </x:c>
      <x:c r="K27" s="40" t="n">
        <x:f>ROUND(F27,J27)</x:f>
        <x:v>0.0028</x:v>
      </x:c>
      <x:c r="L27" s="44" t="n">
        <x:f>IF(ABS(K27-I27)&lt;='论文合同'!$B$5,1,0)</x:f>
        <x:v>1</x:v>
      </x:c>
      <x:c r="M27" s="46" t="n">
        <x:v>1</x:v>
      </x:c>
      <x:c r="N27" s="46" t="n">
        <x:v>1</x:v>
      </x:c>
      <x:c r="O27" s="20" t="str">
        <x:v>计算级复现（当前冻结响应+历史脚本口径；作者历史逐点数组待决定）</x:v>
      </x:c>
      <x:c r="P27" s="20" t="str">
        <x:v>100*sqrt(mean((x_full-x_red)^2))/(max(x_full)-min(x_full))</x:v>
      </x:c>
      <x:c r="Q27" s="20" t="str">
        <x:v>第一类划分_Chirp响应.csv</x:v>
      </x:c>
      <x:c r="R27" s="20" t="str">
        <x:v>2FDC6B5BF3B48118A51DD147ECE32B6711CEFDCD702D88EEC64CFC4E6A13DF49</x:v>
      </x:c>
      <x:c r="S27" s="46" t="n">
        <x:f>IF(H27&lt;='论文合同'!$B$6,1,0)</x:f>
        <x:v>1</x:v>
      </x:c>
      <x:c r="T27" s="46" t="n">
        <x:v>1</x:v>
      </x:c>
    </x:row>
    <x:row r="28">
      <x:c r="A28" s="20" t="str">
        <x:v>T3-3-D1-Chirp-B4-G</x:v>
      </x:c>
      <x:c r="B28" s="20" t="str">
        <x:v>T3-3</x:v>
      </x:c>
      <x:c r="C28" s="20" t="str">
        <x:v>1；5.4-8.1 Hz；报告楼层2</x:v>
      </x:c>
      <x:c r="D28" s="20" t="str">
        <x:v>Guyan</x:v>
      </x:c>
      <x:c r="E28" s="20" t="str">
        <x:v>historical_mean_full_range；group_inferred_uniform_floor</x:v>
      </x:c>
      <x:c r="F28" s="40" t="n">
        <x:f>'表3-3计算'!K12</x:f>
        <x:v>0.07637048926060054</x:v>
      </x:c>
      <x:c r="G28" s="29" t="n">
        <x:v>0.07637048926060054</x:v>
      </x:c>
      <x:c r="H28" s="29" t="n">
        <x:f>ABS(F28-G28)</x:f>
        <x:v>0</x:v>
      </x:c>
      <x:c r="I28" s="29" t="n">
        <x:v>0.0764</x:v>
      </x:c>
      <x:c r="J28" s="43" t="n">
        <x:v>4</x:v>
      </x:c>
      <x:c r="K28" s="40" t="n">
        <x:f>ROUND(F28,J28)</x:f>
        <x:v>0.0764</x:v>
      </x:c>
      <x:c r="L28" s="44" t="n">
        <x:f>IF(ABS(K28-I28)&lt;='论文合同'!$B$5,1,0)</x:f>
        <x:v>1</x:v>
      </x:c>
      <x:c r="M28" s="46" t="n">
        <x:v>1</x:v>
      </x:c>
      <x:c r="N28" s="46" t="n">
        <x:v>1</x:v>
      </x:c>
      <x:c r="O28" s="20" t="str">
        <x:v>计算级复现（当前冻结响应+历史脚本口径；作者历史逐点数组待决定）</x:v>
      </x:c>
      <x:c r="P28" s="20" t="str">
        <x:v>100*sqrt(mean((x_full-x_red)^2))/(max(x_full)-min(x_full))</x:v>
      </x:c>
      <x:c r="Q28" s="20" t="str">
        <x:v>第一类划分_Chirp响应.csv</x:v>
      </x:c>
      <x:c r="R28" s="20" t="str">
        <x:v>2FDC6B5BF3B48118A51DD147ECE32B6711CEFDCD702D88EEC64CFC4E6A13DF49</x:v>
      </x:c>
      <x:c r="S28" s="46" t="n">
        <x:f>IF(H28&lt;='论文合同'!$B$6,1,0)</x:f>
        <x:v>1</x:v>
      </x:c>
      <x:c r="T28" s="46" t="n">
        <x:v>1</x:v>
      </x:c>
    </x:row>
    <x:row r="29">
      <x:c r="A29" s="20" t="str">
        <x:v>T3-3-D1-Chirp-B5-CB</x:v>
      </x:c>
      <x:c r="B29" s="20" t="str">
        <x:v>T3-3</x:v>
      </x:c>
      <x:c r="C29" s="20" t="str">
        <x:v>1；8.1-10 Hz；报告楼层2</x:v>
      </x:c>
      <x:c r="D29" s="20" t="str">
        <x:v>Craig-Bampton</x:v>
      </x:c>
      <x:c r="E29" s="20" t="str">
        <x:v>historical_mean_full_range；group_inferred_uniform_floor</x:v>
      </x:c>
      <x:c r="F29" s="40" t="n">
        <x:f>'表3-3计算'!K13</x:f>
        <x:v>0.05052683355777134</x:v>
      </x:c>
      <x:c r="G29" s="29" t="n">
        <x:v>0.05052683355777134</x:v>
      </x:c>
      <x:c r="H29" s="29" t="n">
        <x:f>ABS(F29-G29)</x:f>
        <x:v>0</x:v>
      </x:c>
      <x:c r="I29" s="29" t="n">
        <x:v>0.0505</x:v>
      </x:c>
      <x:c r="J29" s="43" t="n">
        <x:v>4</x:v>
      </x:c>
      <x:c r="K29" s="40" t="n">
        <x:f>ROUND(F29,J29)</x:f>
        <x:v>0.0505</x:v>
      </x:c>
      <x:c r="L29" s="44" t="n">
        <x:f>IF(ABS(K29-I29)&lt;='论文合同'!$B$5,1,0)</x:f>
        <x:v>1</x:v>
      </x:c>
      <x:c r="M29" s="46" t="n">
        <x:v>1</x:v>
      </x:c>
      <x:c r="N29" s="46" t="n">
        <x:v>1</x:v>
      </x:c>
      <x:c r="O29" s="20" t="str">
        <x:v>计算级复现（当前冻结响应+历史脚本口径；作者历史逐点数组待决定）</x:v>
      </x:c>
      <x:c r="P29" s="20" t="str">
        <x:v>100*sqrt(mean((x_full-x_red)^2))/(max(x_full)-min(x_full))</x:v>
      </x:c>
      <x:c r="Q29" s="20" t="str">
        <x:v>第一类划分_Chirp响应.csv</x:v>
      </x:c>
      <x:c r="R29" s="20" t="str">
        <x:v>2FDC6B5BF3B48118A51DD147ECE32B6711CEFDCD702D88EEC64CFC4E6A13DF49</x:v>
      </x:c>
      <x:c r="S29" s="46" t="n">
        <x:f>IF(H29&lt;='论文合同'!$B$6,1,0)</x:f>
        <x:v>1</x:v>
      </x:c>
      <x:c r="T29" s="46" t="n">
        <x:v>1</x:v>
      </x:c>
    </x:row>
    <x:row r="30">
      <x:c r="A30" s="20" t="str">
        <x:v>T3-3-D1-Chirp-B5-G</x:v>
      </x:c>
      <x:c r="B30" s="20" t="str">
        <x:v>T3-3</x:v>
      </x:c>
      <x:c r="C30" s="20" t="str">
        <x:v>1；8.1-10 Hz；报告楼层2</x:v>
      </x:c>
      <x:c r="D30" s="20" t="str">
        <x:v>Guyan</x:v>
      </x:c>
      <x:c r="E30" s="20" t="str">
        <x:v>historical_mean_full_range；group_inferred_uniform_floor</x:v>
      </x:c>
      <x:c r="F30" s="40" t="n">
        <x:f>'表3-3计算'!K14</x:f>
        <x:v>0.7450123189296456</x:v>
      </x:c>
      <x:c r="G30" s="29" t="n">
        <x:v>0.7450123189296456</x:v>
      </x:c>
      <x:c r="H30" s="29" t="n">
        <x:f>ABS(F30-G30)</x:f>
        <x:v>0</x:v>
      </x:c>
      <x:c r="I30" s="29" t="n">
        <x:v>0.7452</x:v>
      </x:c>
      <x:c r="J30" s="43" t="n">
        <x:v>4</x:v>
      </x:c>
      <x:c r="K30" s="40" t="n">
        <x:f>ROUND(F30,J30)</x:f>
        <x:v>0.745</x:v>
      </x:c>
      <x:c r="L30" s="45" t="n">
        <x:f>IF(ABS(K30-I30)&lt;='论文合同'!$B$5,1,0)</x:f>
        <x:v>0</x:v>
      </x:c>
      <x:c r="M30" s="46" t="n">
        <x:v>0</x:v>
      </x:c>
      <x:c r="N30" s="46" t="n">
        <x:v>1</x:v>
      </x:c>
      <x:c r="O30" s="20" t="str">
        <x:v>历史值/待决定</x:v>
      </x:c>
      <x:c r="P30" s="20" t="str">
        <x:v>100*sqrt(mean((x_full-x_red)^2))/(max(x_full)-min(x_full))</x:v>
      </x:c>
      <x:c r="Q30" s="20" t="str">
        <x:v>第一类划分_Chirp响应.csv</x:v>
      </x:c>
      <x:c r="R30" s="20" t="str">
        <x:v>2FDC6B5BF3B48118A51DD147ECE32B6711CEFDCD702D88EEC64CFC4E6A13DF49</x:v>
      </x:c>
      <x:c r="S30" s="46" t="n">
        <x:f>IF(H30&lt;='论文合同'!$B$6,1,0)</x:f>
        <x:v>1</x:v>
      </x:c>
      <x:c r="T30" s="46" t="n">
        <x:v>1</x:v>
      </x:c>
    </x:row>
    <x:row r="31">
      <x:c r="A31" s="20" t="str">
        <x:v>T3-3-D1-ElCentro-B0-CB</x:v>
      </x:c>
      <x:c r="B31" s="20" t="str">
        <x:v>T3-3</x:v>
      </x:c>
      <x:c r="C31" s="20" t="str">
        <x:v>1；El Centro full；报告楼层2</x:v>
      </x:c>
      <x:c r="D31" s="20" t="str">
        <x:v>Craig-Bampton</x:v>
      </x:c>
      <x:c r="E31" s="20" t="str">
        <x:v>historical_mean_full_range；group_inferred_uniform_floor</x:v>
      </x:c>
      <x:c r="F31" s="40" t="n">
        <x:f>'表3-3计算'!K15</x:f>
        <x:v>0.005750175782225684</x:v>
      </x:c>
      <x:c r="G31" s="29" t="n">
        <x:v>0.005750175782225684</x:v>
      </x:c>
      <x:c r="H31" s="29" t="n">
        <x:f>ABS(F31-G31)</x:f>
        <x:v>0</x:v>
      </x:c>
      <x:c r="I31" s="29" t="n">
        <x:v>0.0058</x:v>
      </x:c>
      <x:c r="J31" s="43" t="n">
        <x:v>4</x:v>
      </x:c>
      <x:c r="K31" s="40" t="n">
        <x:f>ROUND(F31,J31)</x:f>
        <x:v>0.0058</x:v>
      </x:c>
      <x:c r="L31" s="44" t="n">
        <x:f>IF(ABS(K31-I31)&lt;='论文合同'!$B$5,1,0)</x:f>
        <x:v>1</x:v>
      </x:c>
      <x:c r="M31" s="46" t="n">
        <x:v>1</x:v>
      </x:c>
      <x:c r="N31" s="46" t="n">
        <x:v>1</x:v>
      </x:c>
      <x:c r="O31" s="20" t="str">
        <x:v>计算级复现（当前冻结响应+历史脚本口径；作者历史逐点数组待决定）</x:v>
      </x:c>
      <x:c r="P31" s="20" t="str">
        <x:v>100*sqrt(mean((x_full-x_red)^2))/(max(x_full)-min(x_full))</x:v>
      </x:c>
      <x:c r="Q31" s="20" t="str">
        <x:v>第一类划分_ElCentro地震响应.csv</x:v>
      </x:c>
      <x:c r="R31" s="20" t="str">
        <x:v>E7149DD6777B2127527393CE1D7B126B040576F0A535618BE33E882738ACFC40</x:v>
      </x:c>
      <x:c r="S31" s="46" t="n">
        <x:f>IF(H31&lt;='论文合同'!$B$6,1,0)</x:f>
        <x:v>1</x:v>
      </x:c>
      <x:c r="T31" s="46" t="n">
        <x:v>1</x:v>
      </x:c>
    </x:row>
    <x:row r="32">
      <x:c r="A32" s="20" t="str">
        <x:v>T3-3-D1-ElCentro-B0-G</x:v>
      </x:c>
      <x:c r="B32" s="20" t="str">
        <x:v>T3-3</x:v>
      </x:c>
      <x:c r="C32" s="20" t="str">
        <x:v>1；El Centro full；报告楼层2</x:v>
      </x:c>
      <x:c r="D32" s="20" t="str">
        <x:v>Guyan</x:v>
      </x:c>
      <x:c r="E32" s="20" t="str">
        <x:v>historical_mean_full_range；group_inferred_uniform_floor</x:v>
      </x:c>
      <x:c r="F32" s="40" t="n">
        <x:f>'表3-3计算'!K16</x:f>
        <x:v>0.7578077511377075</x:v>
      </x:c>
      <x:c r="G32" s="29" t="n">
        <x:v>0.7578077511377075</x:v>
      </x:c>
      <x:c r="H32" s="29" t="n">
        <x:f>ABS(F32-G32)</x:f>
        <x:v>0</x:v>
      </x:c>
      <x:c r="I32" s="29" t="n">
        <x:v>0.7578</x:v>
      </x:c>
      <x:c r="J32" s="43" t="n">
        <x:v>4</x:v>
      </x:c>
      <x:c r="K32" s="40" t="n">
        <x:f>ROUND(F32,J32)</x:f>
        <x:v>0.7578</x:v>
      </x:c>
      <x:c r="L32" s="44" t="n">
        <x:f>IF(ABS(K32-I32)&lt;='论文合同'!$B$5,1,0)</x:f>
        <x:v>1</x:v>
      </x:c>
      <x:c r="M32" s="46" t="n">
        <x:v>1</x:v>
      </x:c>
      <x:c r="N32" s="46" t="n">
        <x:v>1</x:v>
      </x:c>
      <x:c r="O32" s="20" t="str">
        <x:v>计算级复现（当前冻结响应+历史脚本口径；作者历史逐点数组待决定）</x:v>
      </x:c>
      <x:c r="P32" s="20" t="str">
        <x:v>100*sqrt(mean((x_full-x_red)^2))/(max(x_full)-min(x_full))</x:v>
      </x:c>
      <x:c r="Q32" s="20" t="str">
        <x:v>第一类划分_ElCentro地震响应.csv</x:v>
      </x:c>
      <x:c r="R32" s="20" t="str">
        <x:v>E7149DD6777B2127527393CE1D7B126B040576F0A535618BE33E882738ACFC40</x:v>
      </x:c>
      <x:c r="S32" s="46" t="n">
        <x:f>IF(H32&lt;='论文合同'!$B$6,1,0)</x:f>
        <x:v>1</x:v>
      </x:c>
      <x:c r="T32" s="46" t="n">
        <x:v>1</x:v>
      </x:c>
    </x:row>
    <x:row r="33">
      <x:c r="A33" s="20" t="str">
        <x:v>T3-3-D2-Chirp-B1-CB</x:v>
      </x:c>
      <x:c r="B33" s="20" t="str">
        <x:v>T3-3</x:v>
      </x:c>
      <x:c r="C33" s="20" t="str">
        <x:v>2；0.1-1.9 Hz；报告楼层1</x:v>
      </x:c>
      <x:c r="D33" s="20" t="str">
        <x:v>Craig-Bampton</x:v>
      </x:c>
      <x:c r="E33" s="20" t="str">
        <x:v>historical_mean_full_range；no_uniform_floor; nearest_historical_reported_only</x:v>
      </x:c>
      <x:c r="F33" s="40" t="n">
        <x:f>'表3-3计算'!K17</x:f>
        <x:v>0.001197351439857806</x:v>
      </x:c>
      <x:c r="G33" s="29" t="n">
        <x:v>0.001197351439857806</x:v>
      </x:c>
      <x:c r="H33" s="29" t="n">
        <x:f>ABS(F33-G33)</x:f>
        <x:v>0</x:v>
      </x:c>
      <x:c r="I33" s="29" t="n">
        <x:v>0.0037</x:v>
      </x:c>
      <x:c r="J33" s="43" t="n">
        <x:v>4</x:v>
      </x:c>
      <x:c r="K33" s="40" t="n">
        <x:f>ROUND(F33,J33)</x:f>
        <x:v>0.0012</x:v>
      </x:c>
      <x:c r="L33" s="45" t="n">
        <x:f>IF(ABS(K33-I33)&lt;='论文合同'!$B$5,1,0)</x:f>
        <x:v>0</x:v>
      </x:c>
      <x:c r="M33" s="46" t="n">
        <x:v>0</x:v>
      </x:c>
      <x:c r="N33" s="46" t="n">
        <x:v>1</x:v>
      </x:c>
      <x:c r="O33" s="20" t="str">
        <x:v>历史值/待决定</x:v>
      </x:c>
      <x:c r="P33" s="20" t="str">
        <x:v>100*sqrt(mean((x_full-x_red)^2))/(max(x_full)-min(x_full))</x:v>
      </x:c>
      <x:c r="Q33" s="20" t="str">
        <x:v>第二类划分_Chirp响应.csv</x:v>
      </x:c>
      <x:c r="R33" s="20" t="str">
        <x:v>88919C2AFA4FC431EDB08772A1DCB091B6D8DC1445253C0A4D30334223040457</x:v>
      </x:c>
      <x:c r="S33" s="46" t="n">
        <x:f>IF(H33&lt;='论文合同'!$B$6,1,0)</x:f>
        <x:v>1</x:v>
      </x:c>
      <x:c r="T33" s="46" t="n">
        <x:v>1</x:v>
      </x:c>
    </x:row>
    <x:row r="34">
      <x:c r="A34" s="20" t="str">
        <x:v>T3-3-D2-Chirp-B1-G</x:v>
      </x:c>
      <x:c r="B34" s="20" t="str">
        <x:v>T3-3</x:v>
      </x:c>
      <x:c r="C34" s="20" t="str">
        <x:v>2；0.1-1.9 Hz；报告楼层2</x:v>
      </x:c>
      <x:c r="D34" s="20" t="str">
        <x:v>Guyan</x:v>
      </x:c>
      <x:c r="E34" s="20" t="str">
        <x:v>historical_mean_full_range；no_uniform_floor; nearest_historical_reported_only</x:v>
      </x:c>
      <x:c r="F34" s="40" t="n">
        <x:f>'表3-3计算'!K18</x:f>
        <x:v>0.8143986289091448</x:v>
      </x:c>
      <x:c r="G34" s="29" t="n">
        <x:v>0.8143986289091448</x:v>
      </x:c>
      <x:c r="H34" s="29" t="n">
        <x:f>ABS(F34-G34)</x:f>
        <x:v>0</x:v>
      </x:c>
      <x:c r="I34" s="29" t="n">
        <x:v>2.9956</x:v>
      </x:c>
      <x:c r="J34" s="43" t="n">
        <x:v>4</x:v>
      </x:c>
      <x:c r="K34" s="40" t="n">
        <x:f>ROUND(F34,J34)</x:f>
        <x:v>0.8144</x:v>
      </x:c>
      <x:c r="L34" s="45" t="n">
        <x:f>IF(ABS(K34-I34)&lt;='论文合同'!$B$5,1,0)</x:f>
        <x:v>0</x:v>
      </x:c>
      <x:c r="M34" s="46" t="n">
        <x:v>0</x:v>
      </x:c>
      <x:c r="N34" s="46" t="n">
        <x:v>1</x:v>
      </x:c>
      <x:c r="O34" s="20" t="str">
        <x:v>历史值/待决定</x:v>
      </x:c>
      <x:c r="P34" s="20" t="str">
        <x:v>100*sqrt(mean((x_full-x_red)^2))/(max(x_full)-min(x_full))</x:v>
      </x:c>
      <x:c r="Q34" s="20" t="str">
        <x:v>第二类划分_Chirp响应.csv</x:v>
      </x:c>
      <x:c r="R34" s="20" t="str">
        <x:v>88919C2AFA4FC431EDB08772A1DCB091B6D8DC1445253C0A4D30334223040457</x:v>
      </x:c>
      <x:c r="S34" s="46" t="n">
        <x:f>IF(H34&lt;='论文合同'!$B$6,1,0)</x:f>
        <x:v>1</x:v>
      </x:c>
      <x:c r="T34" s="46" t="n">
        <x:v>1</x:v>
      </x:c>
    </x:row>
    <x:row r="35">
      <x:c r="A35" s="20" t="str">
        <x:v>T3-3-D2-Chirp-B2-CB</x:v>
      </x:c>
      <x:c r="B35" s="20" t="str">
        <x:v>T3-3</x:v>
      </x:c>
      <x:c r="C35" s="20" t="str">
        <x:v>2；1.9-3.5 Hz；报告楼层3</x:v>
      </x:c>
      <x:c r="D35" s="20" t="str">
        <x:v>Craig-Bampton</x:v>
      </x:c>
      <x:c r="E35" s="20" t="str">
        <x:v>historical_mean_full_range；no_uniform_floor; nearest_historical_reported_only</x:v>
      </x:c>
      <x:c r="F35" s="40" t="n">
        <x:f>'表3-3计算'!K19</x:f>
        <x:v>0.0731654428151781</x:v>
      </x:c>
      <x:c r="G35" s="29" t="n">
        <x:v>0.0731654428151781</x:v>
      </x:c>
      <x:c r="H35" s="29" t="n">
        <x:f>ABS(F35-G35)</x:f>
        <x:v>0</x:v>
      </x:c>
      <x:c r="I35" s="29" t="n">
        <x:v>0.056</x:v>
      </x:c>
      <x:c r="J35" s="43" t="n">
        <x:v>4</x:v>
      </x:c>
      <x:c r="K35" s="40" t="n">
        <x:f>ROUND(F35,J35)</x:f>
        <x:v>0.0732</x:v>
      </x:c>
      <x:c r="L35" s="45" t="n">
        <x:f>IF(ABS(K35-I35)&lt;='论文合同'!$B$5,1,0)</x:f>
        <x:v>0</x:v>
      </x:c>
      <x:c r="M35" s="46" t="n">
        <x:v>0</x:v>
      </x:c>
      <x:c r="N35" s="46" t="n">
        <x:v>1</x:v>
      </x:c>
      <x:c r="O35" s="20" t="str">
        <x:v>历史值/待决定</x:v>
      </x:c>
      <x:c r="P35" s="20" t="str">
        <x:v>100*sqrt(mean((x_full-x_red)^2))/(max(x_full)-min(x_full))</x:v>
      </x:c>
      <x:c r="Q35" s="20" t="str">
        <x:v>第二类划分_Chirp响应.csv</x:v>
      </x:c>
      <x:c r="R35" s="20" t="str">
        <x:v>88919C2AFA4FC431EDB08772A1DCB091B6D8DC1445253C0A4D30334223040457</x:v>
      </x:c>
      <x:c r="S35" s="46" t="n">
        <x:f>IF(H35&lt;='论文合同'!$B$6,1,0)</x:f>
        <x:v>1</x:v>
      </x:c>
      <x:c r="T35" s="46" t="n">
        <x:v>1</x:v>
      </x:c>
    </x:row>
    <x:row r="36">
      <x:c r="A36" s="20" t="str">
        <x:v>T3-3-D2-Chirp-B2-G</x:v>
      </x:c>
      <x:c r="B36" s="20" t="str">
        <x:v>T3-3</x:v>
      </x:c>
      <x:c r="C36" s="20" t="str">
        <x:v>2；1.9-3.5 Hz；报告楼层1</x:v>
      </x:c>
      <x:c r="D36" s="20" t="str">
        <x:v>Guyan</x:v>
      </x:c>
      <x:c r="E36" s="20" t="str">
        <x:v>historical_mean_full_range；no_uniform_floor; nearest_historical_reported_only</x:v>
      </x:c>
      <x:c r="F36" s="40" t="n">
        <x:f>'表3-3计算'!K20</x:f>
        <x:v>26.85971928168189</x:v>
      </x:c>
      <x:c r="G36" s="29" t="n">
        <x:v>26.85971928168189</x:v>
      </x:c>
      <x:c r="H36" s="29" t="n">
        <x:f>ABS(F36-G36)</x:f>
        <x:v>0</x:v>
      </x:c>
      <x:c r="I36" s="29" t="n">
        <x:v>19.0594</x:v>
      </x:c>
      <x:c r="J36" s="43" t="n">
        <x:v>4</x:v>
      </x:c>
      <x:c r="K36" s="40" t="n">
        <x:f>ROUND(F36,J36)</x:f>
        <x:v>26.8597</x:v>
      </x:c>
      <x:c r="L36" s="45" t="n">
        <x:f>IF(ABS(K36-I36)&lt;='论文合同'!$B$5,1,0)</x:f>
        <x:v>0</x:v>
      </x:c>
      <x:c r="M36" s="46" t="n">
        <x:v>0</x:v>
      </x:c>
      <x:c r="N36" s="46" t="n">
        <x:v>1</x:v>
      </x:c>
      <x:c r="O36" s="20" t="str">
        <x:v>历史值/待决定</x:v>
      </x:c>
      <x:c r="P36" s="20" t="str">
        <x:v>100*sqrt(mean((x_full-x_red)^2))/(max(x_full)-min(x_full))</x:v>
      </x:c>
      <x:c r="Q36" s="20" t="str">
        <x:v>第二类划分_Chirp响应.csv</x:v>
      </x:c>
      <x:c r="R36" s="20" t="str">
        <x:v>88919C2AFA4FC431EDB08772A1DCB091B6D8DC1445253C0A4D30334223040457</x:v>
      </x:c>
      <x:c r="S36" s="46" t="n">
        <x:f>IF(H36&lt;='论文合同'!$B$6,1,0)</x:f>
        <x:v>1</x:v>
      </x:c>
      <x:c r="T36" s="46" t="n">
        <x:v>1</x:v>
      </x:c>
    </x:row>
    <x:row r="37">
      <x:c r="A37" s="20" t="str">
        <x:v>T3-3-D2-Chirp-B3-CB</x:v>
      </x:c>
      <x:c r="B37" s="20" t="str">
        <x:v>T3-3</x:v>
      </x:c>
      <x:c r="C37" s="20" t="str">
        <x:v>2；3.5-5.4 Hz；报告楼层1</x:v>
      </x:c>
      <x:c r="D37" s="20" t="str">
        <x:v>Craig-Bampton</x:v>
      </x:c>
      <x:c r="E37" s="20" t="str">
        <x:v>historical_mean_full_range；no_uniform_floor; nearest_historical_reported_only</x:v>
      </x:c>
      <x:c r="F37" s="40" t="n">
        <x:f>'表3-3计算'!K21</x:f>
        <x:v>0.022615119527870615</x:v>
      </x:c>
      <x:c r="G37" s="29" t="n">
        <x:v>0.022615119527870615</x:v>
      </x:c>
      <x:c r="H37" s="29" t="n">
        <x:f>ABS(F37-G37)</x:f>
        <x:v>0</x:v>
      </x:c>
      <x:c r="I37" s="29" t="n">
        <x:v>0.0296</x:v>
      </x:c>
      <x:c r="J37" s="43" t="n">
        <x:v>4</x:v>
      </x:c>
      <x:c r="K37" s="40" t="n">
        <x:f>ROUND(F37,J37)</x:f>
        <x:v>0.0226</x:v>
      </x:c>
      <x:c r="L37" s="45" t="n">
        <x:f>IF(ABS(K37-I37)&lt;='论文合同'!$B$5,1,0)</x:f>
        <x:v>0</x:v>
      </x:c>
      <x:c r="M37" s="46" t="n">
        <x:v>0</x:v>
      </x:c>
      <x:c r="N37" s="46" t="n">
        <x:v>1</x:v>
      </x:c>
      <x:c r="O37" s="20" t="str">
        <x:v>历史值/待决定</x:v>
      </x:c>
      <x:c r="P37" s="20" t="str">
        <x:v>100*sqrt(mean((x_full-x_red)^2))/(max(x_full)-min(x_full))</x:v>
      </x:c>
      <x:c r="Q37" s="20" t="str">
        <x:v>第二类划分_Chirp响应.csv</x:v>
      </x:c>
      <x:c r="R37" s="20" t="str">
        <x:v>88919C2AFA4FC431EDB08772A1DCB091B6D8DC1445253C0A4D30334223040457</x:v>
      </x:c>
      <x:c r="S37" s="46" t="n">
        <x:f>IF(H37&lt;='论文合同'!$B$6,1,0)</x:f>
        <x:v>1</x:v>
      </x:c>
      <x:c r="T37" s="46" t="n">
        <x:v>1</x:v>
      </x:c>
    </x:row>
    <x:row r="38">
      <x:c r="A38" s="20" t="str">
        <x:v>T3-3-D2-Chirp-B3-G</x:v>
      </x:c>
      <x:c r="B38" s="20" t="str">
        <x:v>T3-3</x:v>
      </x:c>
      <x:c r="C38" s="20" t="str">
        <x:v>2；3.5-5.4 Hz；报告楼层3</x:v>
      </x:c>
      <x:c r="D38" s="20" t="str">
        <x:v>Guyan</x:v>
      </x:c>
      <x:c r="E38" s="20" t="str">
        <x:v>historical_mean_full_range；no_uniform_floor; nearest_historical_reported_only</x:v>
      </x:c>
      <x:c r="F38" s="40" t="n">
        <x:f>'表3-3计算'!K22</x:f>
        <x:v>11.17723182403666</x:v>
      </x:c>
      <x:c r="G38" s="29" t="n">
        <x:v>11.17723182403666</x:v>
      </x:c>
      <x:c r="H38" s="29" t="n">
        <x:f>ABS(F38-G38)</x:f>
        <x:v>0</x:v>
      </x:c>
      <x:c r="I38" s="29" t="n">
        <x:v>14.876</x:v>
      </x:c>
      <x:c r="J38" s="43" t="n">
        <x:v>4</x:v>
      </x:c>
      <x:c r="K38" s="40" t="n">
        <x:f>ROUND(F38,J38)</x:f>
        <x:v>11.1772</x:v>
      </x:c>
      <x:c r="L38" s="45" t="n">
        <x:f>IF(ABS(K38-I38)&lt;='论文合同'!$B$5,1,0)</x:f>
        <x:v>0</x:v>
      </x:c>
      <x:c r="M38" s="46" t="n">
        <x:v>0</x:v>
      </x:c>
      <x:c r="N38" s="46" t="n">
        <x:v>1</x:v>
      </x:c>
      <x:c r="O38" s="20" t="str">
        <x:v>历史值/待决定</x:v>
      </x:c>
      <x:c r="P38" s="20" t="str">
        <x:v>100*sqrt(mean((x_full-x_red)^2))/(max(x_full)-min(x_full))</x:v>
      </x:c>
      <x:c r="Q38" s="20" t="str">
        <x:v>第二类划分_Chirp响应.csv</x:v>
      </x:c>
      <x:c r="R38" s="20" t="str">
        <x:v>88919C2AFA4FC431EDB08772A1DCB091B6D8DC1445253C0A4D30334223040457</x:v>
      </x:c>
      <x:c r="S38" s="46" t="n">
        <x:f>IF(H38&lt;='论文合同'!$B$6,1,0)</x:f>
        <x:v>1</x:v>
      </x:c>
      <x:c r="T38" s="46" t="n">
        <x:v>1</x:v>
      </x:c>
    </x:row>
    <x:row r="39">
      <x:c r="A39" s="20" t="str">
        <x:v>T3-3-D2-Chirp-B4-CB</x:v>
      </x:c>
      <x:c r="B39" s="20" t="str">
        <x:v>T3-3</x:v>
      </x:c>
      <x:c r="C39" s="20" t="str">
        <x:v>2；5.4-8.1 Hz；报告楼层1</x:v>
      </x:c>
      <x:c r="D39" s="20" t="str">
        <x:v>Craig-Bampton</x:v>
      </x:c>
      <x:c r="E39" s="20" t="str">
        <x:v>historical_mean_full_range；no_uniform_floor; nearest_historical_reported_only</x:v>
      </x:c>
      <x:c r="F39" s="40" t="n">
        <x:f>'表3-3计算'!K23</x:f>
        <x:v>0.003966210676641572</x:v>
      </x:c>
      <x:c r="G39" s="29" t="n">
        <x:v>0.003966210676641572</x:v>
      </x:c>
      <x:c r="H39" s="29" t="n">
        <x:f>ABS(F39-G39)</x:f>
        <x:v>0</x:v>
      </x:c>
      <x:c r="I39" s="29" t="n">
        <x:v>0.0139</x:v>
      </x:c>
      <x:c r="J39" s="43" t="n">
        <x:v>4</x:v>
      </x:c>
      <x:c r="K39" s="40" t="n">
        <x:f>ROUND(F39,J39)</x:f>
        <x:v>0.004</x:v>
      </x:c>
      <x:c r="L39" s="45" t="n">
        <x:f>IF(ABS(K39-I39)&lt;='论文合同'!$B$5,1,0)</x:f>
        <x:v>0</x:v>
      </x:c>
      <x:c r="M39" s="46" t="n">
        <x:v>0</x:v>
      </x:c>
      <x:c r="N39" s="46" t="n">
        <x:v>1</x:v>
      </x:c>
      <x:c r="O39" s="20" t="str">
        <x:v>历史值/待决定</x:v>
      </x:c>
      <x:c r="P39" s="20" t="str">
        <x:v>100*sqrt(mean((x_full-x_red)^2))/(max(x_full)-min(x_full))</x:v>
      </x:c>
      <x:c r="Q39" s="20" t="str">
        <x:v>第二类划分_Chirp响应.csv</x:v>
      </x:c>
      <x:c r="R39" s="20" t="str">
        <x:v>88919C2AFA4FC431EDB08772A1DCB091B6D8DC1445253C0A4D30334223040457</x:v>
      </x:c>
      <x:c r="S39" s="46" t="n">
        <x:f>IF(H39&lt;='论文合同'!$B$6,1,0)</x:f>
        <x:v>1</x:v>
      </x:c>
      <x:c r="T39" s="46" t="n">
        <x:v>1</x:v>
      </x:c>
    </x:row>
    <x:row r="40">
      <x:c r="A40" s="20" t="str">
        <x:v>T3-3-D2-Chirp-B4-G</x:v>
      </x:c>
      <x:c r="B40" s="20" t="str">
        <x:v>T3-3</x:v>
      </x:c>
      <x:c r="C40" s="20" t="str">
        <x:v>2；5.4-8.1 Hz；报告楼层3</x:v>
      </x:c>
      <x:c r="D40" s="20" t="str">
        <x:v>Guyan</x:v>
      </x:c>
      <x:c r="E40" s="20" t="str">
        <x:v>historical_mean_full_range；no_uniform_floor; nearest_historical_reported_only</x:v>
      </x:c>
      <x:c r="F40" s="40" t="n">
        <x:f>'表3-3计算'!K24</x:f>
        <x:v>0.4439323913761823</x:v>
      </x:c>
      <x:c r="G40" s="29" t="n">
        <x:v>0.4439323913761823</x:v>
      </x:c>
      <x:c r="H40" s="29" t="n">
        <x:f>ABS(F40-G40)</x:f>
        <x:v>0</x:v>
      </x:c>
      <x:c r="I40" s="29" t="n">
        <x:v>7.4984</x:v>
      </x:c>
      <x:c r="J40" s="43" t="n">
        <x:v>4</x:v>
      </x:c>
      <x:c r="K40" s="40" t="n">
        <x:f>ROUND(F40,J40)</x:f>
        <x:v>0.4439</x:v>
      </x:c>
      <x:c r="L40" s="45" t="n">
        <x:f>IF(ABS(K40-I40)&lt;='论文合同'!$B$5,1,0)</x:f>
        <x:v>0</x:v>
      </x:c>
      <x:c r="M40" s="46" t="n">
        <x:v>0</x:v>
      </x:c>
      <x:c r="N40" s="46" t="n">
        <x:v>1</x:v>
      </x:c>
      <x:c r="O40" s="20" t="str">
        <x:v>历史值/待决定</x:v>
      </x:c>
      <x:c r="P40" s="20" t="str">
        <x:v>100*sqrt(mean((x_full-x_red)^2))/(max(x_full)-min(x_full))</x:v>
      </x:c>
      <x:c r="Q40" s="20" t="str">
        <x:v>第二类划分_Chirp响应.csv</x:v>
      </x:c>
      <x:c r="R40" s="20" t="str">
        <x:v>88919C2AFA4FC431EDB08772A1DCB091B6D8DC1445253C0A4D30334223040457</x:v>
      </x:c>
      <x:c r="S40" s="46" t="n">
        <x:f>IF(H40&lt;='论文合同'!$B$6,1,0)</x:f>
        <x:v>1</x:v>
      </x:c>
      <x:c r="T40" s="46" t="n">
        <x:v>1</x:v>
      </x:c>
    </x:row>
    <x:row r="41">
      <x:c r="A41" s="20" t="str">
        <x:v>T3-3-D2-Chirp-B5-CB</x:v>
      </x:c>
      <x:c r="B41" s="20" t="str">
        <x:v>T3-3</x:v>
      </x:c>
      <x:c r="C41" s="20" t="str">
        <x:v>2；8.1-10 Hz；报告楼层3</x:v>
      </x:c>
      <x:c r="D41" s="20" t="str">
        <x:v>Craig-Bampton</x:v>
      </x:c>
      <x:c r="E41" s="20" t="str">
        <x:v>historical_mean_full_range；no_uniform_floor; nearest_historical_reported_only</x:v>
      </x:c>
      <x:c r="F41" s="40" t="n">
        <x:f>'表3-3计算'!K25</x:f>
        <x:v>0.011696723131378692</x:v>
      </x:c>
      <x:c r="G41" s="29" t="n">
        <x:v>0.011696723131378692</x:v>
      </x:c>
      <x:c r="H41" s="29" t="n">
        <x:f>ABS(F41-G41)</x:f>
        <x:v>0</x:v>
      </x:c>
      <x:c r="I41" s="29" t="n">
        <x:v>0.007</x:v>
      </x:c>
      <x:c r="J41" s="43" t="n">
        <x:v>4</x:v>
      </x:c>
      <x:c r="K41" s="40" t="n">
        <x:f>ROUND(F41,J41)</x:f>
        <x:v>0.0117</x:v>
      </x:c>
      <x:c r="L41" s="45" t="n">
        <x:f>IF(ABS(K41-I41)&lt;='论文合同'!$B$5,1,0)</x:f>
        <x:v>0</x:v>
      </x:c>
      <x:c r="M41" s="46" t="n">
        <x:v>0</x:v>
      </x:c>
      <x:c r="N41" s="46" t="n">
        <x:v>1</x:v>
      </x:c>
      <x:c r="O41" s="20" t="str">
        <x:v>历史值/待决定</x:v>
      </x:c>
      <x:c r="P41" s="20" t="str">
        <x:v>100*sqrt(mean((x_full-x_red)^2))/(max(x_full)-min(x_full))</x:v>
      </x:c>
      <x:c r="Q41" s="20" t="str">
        <x:v>第二类划分_Chirp响应.csv</x:v>
      </x:c>
      <x:c r="R41" s="20" t="str">
        <x:v>88919C2AFA4FC431EDB08772A1DCB091B6D8DC1445253C0A4D30334223040457</x:v>
      </x:c>
      <x:c r="S41" s="46" t="n">
        <x:f>IF(H41&lt;='论文合同'!$B$6,1,0)</x:f>
        <x:v>1</x:v>
      </x:c>
      <x:c r="T41" s="46" t="n">
        <x:v>1</x:v>
      </x:c>
    </x:row>
    <x:row r="42">
      <x:c r="A42" s="20" t="str">
        <x:v>T3-3-D2-Chirp-B5-G</x:v>
      </x:c>
      <x:c r="B42" s="20" t="str">
        <x:v>T3-3</x:v>
      </x:c>
      <x:c r="C42" s="20" t="str">
        <x:v>2；8.1-10 Hz；报告楼层1</x:v>
      </x:c>
      <x:c r="D42" s="20" t="str">
        <x:v>Guyan</x:v>
      </x:c>
      <x:c r="E42" s="20" t="str">
        <x:v>historical_mean_full_range；no_uniform_floor; nearest_historical_reported_only</x:v>
      </x:c>
      <x:c r="F42" s="40" t="n">
        <x:f>'表3-3计算'!K26</x:f>
        <x:v>3.0177212086320986</x:v>
      </x:c>
      <x:c r="G42" s="29" t="n">
        <x:v>3.0177212086320986</x:v>
      </x:c>
      <x:c r="H42" s="29" t="n">
        <x:f>ABS(F42-G42)</x:f>
        <x:v>0</x:v>
      </x:c>
      <x:c r="I42" s="29" t="n">
        <x:v>2.8127</x:v>
      </x:c>
      <x:c r="J42" s="43" t="n">
        <x:v>4</x:v>
      </x:c>
      <x:c r="K42" s="40" t="n">
        <x:f>ROUND(F42,J42)</x:f>
        <x:v>3.0177</x:v>
      </x:c>
      <x:c r="L42" s="45" t="n">
        <x:f>IF(ABS(K42-I42)&lt;='论文合同'!$B$5,1,0)</x:f>
        <x:v>0</x:v>
      </x:c>
      <x:c r="M42" s="46" t="n">
        <x:v>0</x:v>
      </x:c>
      <x:c r="N42" s="46" t="n">
        <x:v>1</x:v>
      </x:c>
      <x:c r="O42" s="20" t="str">
        <x:v>历史值/待决定</x:v>
      </x:c>
      <x:c r="P42" s="20" t="str">
        <x:v>100*sqrt(mean((x_full-x_red)^2))/(max(x_full)-min(x_full))</x:v>
      </x:c>
      <x:c r="Q42" s="20" t="str">
        <x:v>第二类划分_Chirp响应.csv</x:v>
      </x:c>
      <x:c r="R42" s="20" t="str">
        <x:v>88919C2AFA4FC431EDB08772A1DCB091B6D8DC1445253C0A4D30334223040457</x:v>
      </x:c>
      <x:c r="S42" s="46" t="n">
        <x:f>IF(H42&lt;='论文合同'!$B$6,1,0)</x:f>
        <x:v>1</x:v>
      </x:c>
      <x:c r="T42" s="46" t="n">
        <x:v>1</x:v>
      </x:c>
    </x:row>
    <x:row r="43">
      <x:c r="A43" s="20" t="str">
        <x:v>T3-3-D2-ElCentro-B0-CB</x:v>
      </x:c>
      <x:c r="B43" s="20" t="str">
        <x:v>T3-3</x:v>
      </x:c>
      <x:c r="C43" s="20" t="str">
        <x:v>2；El Centro full；报告楼层3</x:v>
      </x:c>
      <x:c r="D43" s="20" t="str">
        <x:v>Craig-Bampton</x:v>
      </x:c>
      <x:c r="E43" s="20" t="str">
        <x:v>historical_mean_full_range；group_inferred_uniform_floor</x:v>
      </x:c>
      <x:c r="F43" s="40" t="n">
        <x:f>'表3-3计算'!K27</x:f>
        <x:v>0.0272009098415715</x:v>
      </x:c>
      <x:c r="G43" s="29" t="n">
        <x:v>0.0272009098415715</x:v>
      </x:c>
      <x:c r="H43" s="29" t="n">
        <x:f>ABS(F43-G43)</x:f>
        <x:v>0</x:v>
      </x:c>
      <x:c r="I43" s="29" t="n">
        <x:v>0.0272</x:v>
      </x:c>
      <x:c r="J43" s="43" t="n">
        <x:v>4</x:v>
      </x:c>
      <x:c r="K43" s="40" t="n">
        <x:f>ROUND(F43,J43)</x:f>
        <x:v>0.0272</x:v>
      </x:c>
      <x:c r="L43" s="44" t="n">
        <x:f>IF(ABS(K43-I43)&lt;='论文合同'!$B$5,1,0)</x:f>
        <x:v>1</x:v>
      </x:c>
      <x:c r="M43" s="46" t="n">
        <x:v>1</x:v>
      </x:c>
      <x:c r="N43" s="46" t="n">
        <x:v>1</x:v>
      </x:c>
      <x:c r="O43" s="20" t="str">
        <x:v>计算级复现（当前冻结响应+历史脚本口径；作者历史逐点数组待决定）</x:v>
      </x:c>
      <x:c r="P43" s="20" t="str">
        <x:v>100*sqrt(mean((x_full-x_red)^2))/(max(x_full)-min(x_full))</x:v>
      </x:c>
      <x:c r="Q43" s="20" t="str">
        <x:v>第二类划分_ElCentro地震响应.csv</x:v>
      </x:c>
      <x:c r="R43" s="20" t="str">
        <x:v>2899DFD2C03B22AAEE701C7E4B3B70E40D49668531BB6734FA6B52E8246B5E5D</x:v>
      </x:c>
      <x:c r="S43" s="46" t="n">
        <x:f>IF(H43&lt;='论文合同'!$B$6,1,0)</x:f>
        <x:v>1</x:v>
      </x:c>
      <x:c r="T43" s="46" t="n">
        <x:v>1</x:v>
      </x:c>
    </x:row>
    <x:row r="44">
      <x:c r="A44" s="20" t="str">
        <x:v>T3-3-D2-ElCentro-B0-G</x:v>
      </x:c>
      <x:c r="B44" s="20" t="str">
        <x:v>T3-3</x:v>
      </x:c>
      <x:c r="C44" s="20" t="str">
        <x:v>2；El Centro full；报告楼层3</x:v>
      </x:c>
      <x:c r="D44" s="20" t="str">
        <x:v>Guyan</x:v>
      </x:c>
      <x:c r="E44" s="20" t="str">
        <x:v>historical_mean_full_range；group_inferred_uniform_floor</x:v>
      </x:c>
      <x:c r="F44" s="40" t="n">
        <x:f>'表3-3计算'!K28</x:f>
        <x:v>10.935517674042613</x:v>
      </x:c>
      <x:c r="G44" s="29" t="n">
        <x:v>10.935517674042613</x:v>
      </x:c>
      <x:c r="H44" s="29" t="n">
        <x:f>ABS(F44-G44)</x:f>
        <x:v>0</x:v>
      </x:c>
      <x:c r="I44" s="29" t="n">
        <x:v>10.9355</x:v>
      </x:c>
      <x:c r="J44" s="43" t="n">
        <x:v>4</x:v>
      </x:c>
      <x:c r="K44" s="40" t="n">
        <x:f>ROUND(F44,J44)</x:f>
        <x:v>10.9355</x:v>
      </x:c>
      <x:c r="L44" s="44" t="n">
        <x:f>IF(ABS(K44-I44)&lt;='论文合同'!$B$5,1,0)</x:f>
        <x:v>1</x:v>
      </x:c>
      <x:c r="M44" s="46" t="n">
        <x:v>1</x:v>
      </x:c>
      <x:c r="N44" s="46" t="n">
        <x:v>1</x:v>
      </x:c>
      <x:c r="O44" s="20" t="str">
        <x:v>计算级复现（当前冻结响应+历史脚本口径；作者历史逐点数组待决定）</x:v>
      </x:c>
      <x:c r="P44" s="20" t="str">
        <x:v>100*sqrt(mean((x_full-x_red)^2))/(max(x_full)-min(x_full))</x:v>
      </x:c>
      <x:c r="Q44" s="20" t="str">
        <x:v>第二类划分_ElCentro地震响应.csv</x:v>
      </x:c>
      <x:c r="R44" s="20" t="str">
        <x:v>2899DFD2C03B22AAEE701C7E4B3B70E40D49668531BB6734FA6B52E8246B5E5D</x:v>
      </x:c>
      <x:c r="S44" s="46" t="n">
        <x:f>IF(H44&lt;='论文合同'!$B$6,1,0)</x:f>
        <x:v>1</x:v>
      </x:c>
      <x:c r="T44" s="46" t="n">
        <x:v>1</x:v>
      </x:c>
    </x:row>
  </x:sheetData>
  <x:mergeCells>
    <x:mergeCell ref="A1:T1"/>
    <x:mergeCell ref="A2:T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62" hidden="0" customWidth="1"/>
    <x:col min="3" max="3" width="50" hidden="0" customWidth="1"/>
    <x:col min="4" max="4" width="14" hidden="0" customWidth="1"/>
    <x:col min="5" max="5" width="28" hidden="0" customWidth="1"/>
    <x:col min="6" max="6" width="28" hidden="0" customWidth="1"/>
    <x:col min="7" max="7" width="13" hidden="0" customWidth="1"/>
    <x:col min="8" max="8" width="28" hidden="0" customWidth="1"/>
    <x:col min="9" max="9" width="13" hidden="0" customWidth="1"/>
    <x:col min="10" max="10" width="9" hidden="0" customWidth="1"/>
    <x:col min="11" max="11" width="12" hidden="0" customWidth="1"/>
  </x:cols>
  <x:sheetData>
    <x:row r="1" ht="30" customHeight="1">
      <x:c r="A1" s="3" t="str">
        <x:v>35份冻结输入来源与哈希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6" customHeight="1">
      <x:c r="A2" s="7" t="str">
        <x:v>所有计算仅使用本表所列冻结副本；源文件哈希、冻结副本哈希和工作簿制作前实时哈希必须一致。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4" customHeight="1">
      <x:c r="A4" s="17" t="str">
        <x:v>角色</x:v>
      </x:c>
      <x:c r="B4" s="17" t="str">
        <x:v>原始路径</x:v>
      </x:c>
      <x:c r="C4" s="17" t="str">
        <x:v>冻结相对路径</x:v>
      </x:c>
      <x:c r="D4" s="17" t="str">
        <x:v>字节数</x:v>
      </x:c>
      <x:c r="E4" s="17" t="str">
        <x:v>源SHA-256</x:v>
      </x:c>
      <x:c r="F4" s="17" t="str">
        <x:v>冻结SHA-256</x:v>
      </x:c>
      <x:c r="G4" s="17" t="str">
        <x:v>冻结状态</x:v>
      </x:c>
      <x:c r="H4" s="17" t="str">
        <x:v>实时SHA-256</x:v>
      </x:c>
      <x:c r="I4" s="17" t="str">
        <x:v>实时状态</x:v>
      </x:c>
      <x:c r="J4" s="17" t="str">
        <x:v>记录数</x:v>
      </x:c>
      <x:c r="K4" s="17" t="str">
        <x:v>实时匹配</x:v>
      </x:c>
    </x:row>
    <x:row r="5">
      <x:c r="A5" s="20" t="str">
        <x:v>thesis_pdf</x:v>
      </x:c>
      <x:c r="B5" s="20" t="str">
        <x:v>D:\JZ_PhD\10_论文_Papers\Li\RHTS\梁禹手稿.pdf</x:v>
      </x:c>
      <x:c r="C5" s="20" t="str">
        <x:v>theory/梁禹手稿.pdf</x:v>
      </x:c>
      <x:c r="D5" s="50" t="n">
        <x:v>3800682</x:v>
      </x:c>
      <x:c r="E5" s="28" t="str">
        <x:v>DDA04CE3DBFF6A5DCE33E6A7D07191F5A33D27F025174087EE395DFE4CF9D5D1</x:v>
      </x:c>
      <x:c r="F5" s="28" t="str">
        <x:v>DDA04CE3DBFF6A5DCE33E6A7D07191F5A33D27F025174087EE395DFE4CF9D5D1</x:v>
      </x:c>
      <x:c r="G5" s="28" t="str">
        <x:v>MATCH</x:v>
      </x:c>
      <x:c r="H5" s="28" t="str">
        <x:v>DDA04CE3DBFF6A5DCE33E6A7D07191F5A33D27F025174087EE395DFE4CF9D5D1</x:v>
      </x:c>
      <x:c r="I5" s="28" t="str">
        <x:v>MATCH</x:v>
      </x:c>
      <x:c r="J5" s="20" t="n">
        <x:v>1</x:v>
      </x:c>
      <x:c r="K5" s="20" t="n">
        <x:f>IF(I5="MATCH",1,0)</x:f>
        <x:v>1</x:v>
      </x:c>
    </x:row>
    <x:row r="6">
      <x:c r="A6" s="20" t="str">
        <x:v>manuscript</x:v>
      </x:c>
      <x:c r="B6" s="20" t="str">
        <x:v>D:\JZ_PhD\10_论文_Papers\Li\RHTS\260817\manuscript_0824.tex</x:v>
      </x:c>
      <x:c r="C6" s="20" t="str">
        <x:v>theory/manuscript_0824.tex</x:v>
      </x:c>
      <x:c r="D6" s="50" t="n">
        <x:v>64442</x:v>
      </x:c>
      <x:c r="E6" s="28" t="str">
        <x:v>15A5025246A25809E33E8A38F13C3E71C23607C7765D967730F6105B5445DB76</x:v>
      </x:c>
      <x:c r="F6" s="28" t="str">
        <x:v>15A5025246A25809E33E8A38F13C3E71C23607C7765D967730F6105B5445DB76</x:v>
      </x:c>
      <x:c r="G6" s="28" t="str">
        <x:v>MATCH</x:v>
      </x:c>
      <x:c r="H6" s="28" t="str">
        <x:v>15A5025246A25809E33E8A38F13C3E71C23607C7765D967730F6105B5445DB76</x:v>
      </x:c>
      <x:c r="I6" s="28" t="str">
        <x:v>MATCH</x:v>
      </x:c>
      <x:c r="J6" s="20" t="n">
        <x:v>1</x:v>
      </x:c>
      <x:c r="K6" s="20" t="n">
        <x:f>IF(I6="MATCH",1,0)</x:f>
        <x:v>1</x:v>
      </x:c>
    </x:row>
    <x:row r="7">
      <x:c r="A7" s="20" t="str">
        <x:v>object_index</x:v>
      </x:c>
      <x:c r="B7" s="20" t="str">
        <x:v>D:\JZ_PhD\10_论文_Papers\Li\RHTS\liangyustability-master\test\00_总索引与复现规则\全部对象总索引.csv</x:v>
      </x:c>
      <x:c r="C7" s="20" t="str">
        <x:v>contracts/全部对象总索引_冻结前.csv</x:v>
      </x:c>
      <x:c r="D7" s="50" t="n">
        <x:v>26260</x:v>
      </x:c>
      <x:c r="E7" s="28" t="str">
        <x:v>15CA2C1F20C2CB2CDD2AAF2BC89EFFE4CBD11953B16A7A26F76F294DF1178DD9</x:v>
      </x:c>
      <x:c r="F7" s="28" t="str">
        <x:v>15CA2C1F20C2CB2CDD2AAF2BC89EFFE4CBD11953B16A7A26F76F294DF1178DD9</x:v>
      </x:c>
      <x:c r="G7" s="28" t="str">
        <x:v>MATCH</x:v>
      </x:c>
      <x:c r="H7" s="28" t="str">
        <x:v>15CA2C1F20C2CB2CDD2AAF2BC89EFFE4CBD11953B16A7A26F76F294DF1178DD9</x:v>
      </x:c>
      <x:c r="I7" s="28" t="str">
        <x:v>MATCH</x:v>
      </x:c>
      <x:c r="J7" s="20" t="n">
        <x:v>1</x:v>
      </x:c>
      <x:c r="K7" s="20" t="n">
        <x:f>IF(I7="MATCH",1,0)</x:f>
        <x:v>1</x:v>
      </x:c>
    </x:row>
    <x:row r="8">
      <x:c r="A8" s="20" t="str">
        <x:v>historical_metric_script</x:v>
      </x:c>
      <x:c r="B8" s="20" t="str">
        <x:v>D:\JZ_PhD\10_论文_Papers\Li\RHTS\liangyustability-master\liangyustability-master\新结构稳定\精度指标\fguyou.m</x:v>
      </x:c>
      <x:c r="C8" s="20" t="str">
        <x:v>historical_metrics/fguyou.m</x:v>
      </x:c>
      <x:c r="D8" s="50" t="n">
        <x:v>1660</x:v>
      </x:c>
      <x:c r="E8" s="28" t="str">
        <x:v>62B397E566C7B44BB3A04228AD144FFF68CF20981182D86F37594398131C4848</x:v>
      </x:c>
      <x:c r="F8" s="28" t="str">
        <x:v>62B397E566C7B44BB3A04228AD144FFF68CF20981182D86F37594398131C4848</x:v>
      </x:c>
      <x:c r="G8" s="28" t="str">
        <x:v>MATCH</x:v>
      </x:c>
      <x:c r="H8" s="28" t="str">
        <x:v>62B397E566C7B44BB3A04228AD144FFF68CF20981182D86F37594398131C4848</x:v>
      </x:c>
      <x:c r="I8" s="28" t="str">
        <x:v>MATCH</x:v>
      </x:c>
      <x:c r="J8" s="20" t="n">
        <x:v>1</x:v>
      </x:c>
      <x:c r="K8" s="20" t="n">
        <x:f>IF(I8="MATCH",1,0)</x:f>
        <x:v>1</x:v>
      </x:c>
    </x:row>
    <x:row r="9">
      <x:c r="A9" s="20" t="str">
        <x:v>historical_metric_script</x:v>
      </x:c>
      <x:c r="B9" s="20" t="str">
        <x:v>D:\JZ_PhD\10_论文_Papers\Li\RHTS\liangyustability-master\liangyustability-master\新结构稳定\精度指标\MAC.m</x:v>
      </x:c>
      <x:c r="C9" s="20" t="str">
        <x:v>historical_metrics/MAC.m</x:v>
      </x:c>
      <x:c r="D9" s="50" t="n">
        <x:v>1659</x:v>
      </x:c>
      <x:c r="E9" s="28" t="str">
        <x:v>557293146AF1ABBE15D1D1F8823397636C05FB83ACB2E0D6E8E95377251AF95A</x:v>
      </x:c>
      <x:c r="F9" s="28" t="str">
        <x:v>557293146AF1ABBE15D1D1F8823397636C05FB83ACB2E0D6E8E95377251AF95A</x:v>
      </x:c>
      <x:c r="G9" s="28" t="str">
        <x:v>MATCH</x:v>
      </x:c>
      <x:c r="H9" s="28" t="str">
        <x:v>557293146AF1ABBE15D1D1F8823397636C05FB83ACB2E0D6E8E95377251AF95A</x:v>
      </x:c>
      <x:c r="I9" s="28" t="str">
        <x:v>MATCH</x:v>
      </x:c>
      <x:c r="J9" s="20" t="n">
        <x:v>1</x:v>
      </x:c>
      <x:c r="K9" s="20" t="n">
        <x:f>IF(I9="MATCH",1,0)</x:f>
        <x:v>1</x:v>
      </x:c>
    </x:row>
    <x:row r="10">
      <x:c r="A10" s="20" t="str">
        <x:v>historical_metric_script</x:v>
      </x:c>
      <x:c r="B10" s="20" t="str">
        <x:v>D:\JZ_PhD\10_论文_Papers\Li\RHTS\liangyustability-master\liangyustability-master\新结构稳定\精度指标\MAC_full.m</x:v>
      </x:c>
      <x:c r="C10" s="20" t="str">
        <x:v>historical_metrics/MAC_full.m</x:v>
      </x:c>
      <x:c r="D10" s="50" t="n">
        <x:v>1903</x:v>
      </x:c>
      <x:c r="E10" s="28" t="str">
        <x:v>A38A5371D89D5EFB9B647457AF3E1FC9AD893F0CF4FF31AF5C7DFD0DF305D400</x:v>
      </x:c>
      <x:c r="F10" s="28" t="str">
        <x:v>A38A5371D89D5EFB9B647457AF3E1FC9AD893F0CF4FF31AF5C7DFD0DF305D400</x:v>
      </x:c>
      <x:c r="G10" s="28" t="str">
        <x:v>MATCH</x:v>
      </x:c>
      <x:c r="H10" s="28" t="str">
        <x:v>A38A5371D89D5EFB9B647457AF3E1FC9AD893F0CF4FF31AF5C7DFD0DF305D400</x:v>
      </x:c>
      <x:c r="I10" s="28" t="str">
        <x:v>MATCH</x:v>
      </x:c>
      <x:c r="J10" s="20" t="n">
        <x:v>1</x:v>
      </x:c>
      <x:c r="K10" s="20" t="n">
        <x:f>IF(I10="MATCH",1,0)</x:f>
        <x:v>1</x:v>
      </x:c>
    </x:row>
    <x:row r="11">
      <x:c r="A11" s="20" t="str">
        <x:v>historical_metric_script</x:v>
      </x:c>
      <x:c r="B11" s="20" t="str">
        <x:v>D:\JZ_PhD\10_论文_Papers\Li\RHTS\liangyustability-master\liangyustability-master\新结构稳定\精度指标\RMSE.m</x:v>
      </x:c>
      <x:c r="C11" s="20" t="str">
        <x:v>historical_metrics/RMSE.m</x:v>
      </x:c>
      <x:c r="D11" s="50" t="n">
        <x:v>1273</x:v>
      </x:c>
      <x:c r="E11" s="28" t="str">
        <x:v>61EF8B56A832CBC1436AE4C34493D7D47F6742123BB1B805AB5A3E35DAFFDB37</x:v>
      </x:c>
      <x:c r="F11" s="28" t="str">
        <x:v>61EF8B56A832CBC1436AE4C34493D7D47F6742123BB1B805AB5A3E35DAFFDB37</x:v>
      </x:c>
      <x:c r="G11" s="28" t="str">
        <x:v>MATCH</x:v>
      </x:c>
      <x:c r="H11" s="28" t="str">
        <x:v>61EF8B56A832CBC1436AE4C34493D7D47F6742123BB1B805AB5A3E35DAFFDB37</x:v>
      </x:c>
      <x:c r="I11" s="28" t="str">
        <x:v>MATCH</x:v>
      </x:c>
      <x:c r="J11" s="20" t="n">
        <x:v>1</x:v>
      </x:c>
      <x:c r="K11" s="20" t="n">
        <x:f>IF(I11="MATCH",1,0)</x:f>
        <x:v>1</x:v>
      </x:c>
    </x:row>
    <x:row r="12">
      <x:c r="A12" s="20" t="str">
        <x:v>historical_metric_script</x:v>
      </x:c>
      <x:c r="B12" s="20" t="str">
        <x:v>D:\JZ_PhD\10_论文_Papers\Li\RHTS\liangyustability-master\liangyustability-master\新结构稳定\精度指标\RMSE_full.m</x:v>
      </x:c>
      <x:c r="C12" s="20" t="str">
        <x:v>historical_metrics/RMSE_full.m</x:v>
      </x:c>
      <x:c r="D12" s="50" t="n">
        <x:v>819</x:v>
      </x:c>
      <x:c r="E12" s="28" t="str">
        <x:v>3FE52317AA671380E922AEBC15581CE3DD0A9064B51005E1D6D0F720989EFB57</x:v>
      </x:c>
      <x:c r="F12" s="28" t="str">
        <x:v>3FE52317AA671380E922AEBC15581CE3DD0A9064B51005E1D6D0F720989EFB57</x:v>
      </x:c>
      <x:c r="G12" s="28" t="str">
        <x:v>MATCH</x:v>
      </x:c>
      <x:c r="H12" s="28" t="str">
        <x:v>3FE52317AA671380E922AEBC15581CE3DD0A9064B51005E1D6D0F720989EFB57</x:v>
      </x:c>
      <x:c r="I12" s="28" t="str">
        <x:v>MATCH</x:v>
      </x:c>
      <x:c r="J12" s="20" t="n">
        <x:v>1</x:v>
      </x:c>
      <x:c r="K12" s="20" t="n">
        <x:f>IF(I12="MATCH",1,0)</x:f>
        <x:v>1</x:v>
      </x:c>
    </x:row>
    <x:row r="13">
      <x:c r="A13" s="20" t="str">
        <x:v>historical_metric_helper</x:v>
      </x:c>
      <x:c r="B13" s="20" t="str">
        <x:v>D:\JZ_PhD\10_论文_Papers\Li\RHTS\liangyustability-master\liangyustability-master\新结构稳定\绘图\compute_MAC.m</x:v>
      </x:c>
      <x:c r="C13" s="20" t="str">
        <x:v>historical_metrics/compute_MAC.m</x:v>
      </x:c>
      <x:c r="D13" s="50" t="n">
        <x:v>475</x:v>
      </x:c>
      <x:c r="E13" s="28" t="str">
        <x:v>4392F2516CBBCF0A50F05B77A62442E8540572484A75AEAC930A0C627F5300B9</x:v>
      </x:c>
      <x:c r="F13" s="28" t="str">
        <x:v>4392F2516CBBCF0A50F05B77A62442E8540572484A75AEAC930A0C627F5300B9</x:v>
      </x:c>
      <x:c r="G13" s="28" t="str">
        <x:v>MATCH</x:v>
      </x:c>
      <x:c r="H13" s="28" t="str">
        <x:v>4392F2516CBBCF0A50F05B77A62442E8540572484A75AEAC930A0C627F5300B9</x:v>
      </x:c>
      <x:c r="I13" s="28" t="str">
        <x:v>MATCH</x:v>
      </x:c>
      <x:c r="J13" s="20" t="n">
        <x:v>1</x:v>
      </x:c>
      <x:c r="K13" s="20" t="n">
        <x:f>IF(I13="MATCH",1,0)</x:f>
        <x:v>1</x:v>
      </x:c>
    </x:row>
    <x:row r="14">
      <x:c r="A14" s="20" t="str">
        <x:v>documented_alternative_script</x:v>
      </x:c>
      <x:c r="B14" s="20" t="str">
        <x:v>D:\JZ_PhD\10_论文_Papers\Li\RHTS\liangyustability-master\liangyustability-master\新结构稳定\鲁旭杰方法复现\phy.m</x:v>
      </x:c>
      <x:c r="C14" s="20" t="str">
        <x:v>documented_alternatives/phy.m</x:v>
      </x:c>
      <x:c r="D14" s="50" t="n">
        <x:v>3145</x:v>
      </x:c>
      <x:c r="E14" s="28" t="str">
        <x:v>643C2922BF3EF1BCBBE923998F3BD572671C15935E95AB00B8EC49A55674539E</x:v>
      </x:c>
      <x:c r="F14" s="28" t="str">
        <x:v>643C2922BF3EF1BCBBE923998F3BD572671C15935E95AB00B8EC49A55674539E</x:v>
      </x:c>
      <x:c r="G14" s="28" t="str">
        <x:v>MATCH</x:v>
      </x:c>
      <x:c r="H14" s="28" t="str">
        <x:v>643C2922BF3EF1BCBBE923998F3BD572671C15935E95AB00B8EC49A55674539E</x:v>
      </x:c>
      <x:c r="I14" s="28" t="str">
        <x:v>MATCH</x:v>
      </x:c>
      <x:c r="J14" s="20" t="n">
        <x:v>1</x:v>
      </x:c>
      <x:c r="K14" s="20" t="n">
        <x:f>IF(I14="MATCH",1,0)</x:f>
        <x:v>1</x:v>
      </x:c>
    </x:row>
    <x:row r="15">
      <x:c r="A15" s="20" t="str">
        <x:v>documented_alternative_script</x:v>
      </x:c>
      <x:c r="B15" s="20" t="str">
        <x:v>D:\JZ_PhD\10_论文_Papers\Li\RHTS\liangyustability-master\liangyustability-master\能量指标\PDmonicanshu.m</x:v>
      </x:c>
      <x:c r="C15" s="20" t="str">
        <x:v>documented_alternatives/PDmonicanshu_energy.m</x:v>
      </x:c>
      <x:c r="D15" s="50" t="n">
        <x:v>9625</x:v>
      </x:c>
      <x:c r="E15" s="28" t="str">
        <x:v>A78F2608FEE0FA0775DEB0D7F778A51327C81BF88F25AA6D8E13D4202EB7B883</x:v>
      </x:c>
      <x:c r="F15" s="28" t="str">
        <x:v>A78F2608FEE0FA0775DEB0D7F778A51327C81BF88F25AA6D8E13D4202EB7B883</x:v>
      </x:c>
      <x:c r="G15" s="28" t="str">
        <x:v>MATCH</x:v>
      </x:c>
      <x:c r="H15" s="28" t="str">
        <x:v>A78F2608FEE0FA0775DEB0D7F778A51327C81BF88F25AA6D8E13D4202EB7B883</x:v>
      </x:c>
      <x:c r="I15" s="28" t="str">
        <x:v>MATCH</x:v>
      </x:c>
      <x:c r="J15" s="20" t="n">
        <x:v>1</x:v>
      </x:c>
      <x:c r="K15" s="20" t="n">
        <x:f>IF(I15="MATCH",1,0)</x:f>
        <x:v>1</x:v>
      </x:c>
    </x:row>
    <x:row r="16">
      <x:c r="A16" s="20" t="str">
        <x:v>documented_local_script</x:v>
      </x:c>
      <x:c r="B16" s="20" t="str">
        <x:v>D:\JZ_PhD\10_论文_Papers\Li\RHTS\liangyustability-master\liangyustability-master\能量指标\PDmonicanshu2.m</x:v>
      </x:c>
      <x:c r="C16" s="20" t="str">
        <x:v>documented_alternatives/PDmonicanshu2.m</x:v>
      </x:c>
      <x:c r="D16" s="50" t="n">
        <x:v>5191</x:v>
      </x:c>
      <x:c r="E16" s="28" t="str">
        <x:v>ADF1C89A4C9443168DCBBBBC5F9AAA1C68CE275C4F49E449C1CBABDEF86FF110</x:v>
      </x:c>
      <x:c r="F16" s="28" t="str">
        <x:v>ADF1C89A4C9443168DCBBBBC5F9AAA1C68CE275C4F49E449C1CBABDEF86FF110</x:v>
      </x:c>
      <x:c r="G16" s="28" t="str">
        <x:v>MATCH</x:v>
      </x:c>
      <x:c r="H16" s="28" t="str">
        <x:v>ADF1C89A4C9443168DCBBBBC5F9AAA1C68CE275C4F49E449C1CBABDEF86FF110</x:v>
      </x:c>
      <x:c r="I16" s="28" t="str">
        <x:v>MATCH</x:v>
      </x:c>
      <x:c r="J16" s="20" t="n">
        <x:v>1</x:v>
      </x:c>
      <x:c r="K16" s="20" t="n">
        <x:f>IF(I16="MATCH",1,0)</x:f>
        <x:v>1</x:v>
      </x:c>
    </x:row>
    <x:row r="17">
      <x:c r="A17" s="20" t="str">
        <x:v>documented_local_script</x:v>
      </x:c>
      <x:c r="B17" s="20" t="str">
        <x:v>D:\JZ_PhD\10_论文_Papers\Li\RHTS\liangyustability-master\liangyustability-master\能量指标\PDmonicanshu3.m</x:v>
      </x:c>
      <x:c r="C17" s="20" t="str">
        <x:v>documented_alternatives/PDmonicanshu3.m</x:v>
      </x:c>
      <x:c r="D17" s="50" t="n">
        <x:v>5492</x:v>
      </x:c>
      <x:c r="E17" s="28" t="str">
        <x:v>C35C7BFB19C3A5E98626FF1A07C14481F53973947E2C382EB81BD9642D9CF40E</x:v>
      </x:c>
      <x:c r="F17" s="28" t="str">
        <x:v>C35C7BFB19C3A5E98626FF1A07C14481F53973947E2C382EB81BD9642D9CF40E</x:v>
      </x:c>
      <x:c r="G17" s="28" t="str">
        <x:v>MATCH</x:v>
      </x:c>
      <x:c r="H17" s="28" t="str">
        <x:v>C35C7BFB19C3A5E98626FF1A07C14481F53973947E2C382EB81BD9642D9CF40E</x:v>
      </x:c>
      <x:c r="I17" s="28" t="str">
        <x:v>MATCH</x:v>
      </x:c>
      <x:c r="J17" s="20" t="n">
        <x:v>1</x:v>
      </x:c>
      <x:c r="K17" s="20" t="n">
        <x:f>IF(I17="MATCH",1,0)</x:f>
        <x:v>1</x:v>
      </x:c>
    </x:row>
    <x:row r="18">
      <x:c r="A18" s="20" t="str">
        <x:v>board17_matlab_route</x:v>
      </x:c>
      <x:c r="B18" s="20" t="str">
        <x:v>D:\JZ_PhD\10_论文_Papers\Li\RHTS\liangyustability-master\test\00_失败尝试与候选路线\板块17_两类划分与缩聚候选路线\code\run_board17_global_routes.m</x:v>
      </x:c>
      <x:c r="C18" s="20" t="str">
        <x:v>board17/code/run_board17_global_routes.m</x:v>
      </x:c>
      <x:c r="D18" s="50" t="n">
        <x:v>33175</x:v>
      </x:c>
      <x:c r="E18" s="28" t="str">
        <x:v>98FD1B4B4067181D007340FF29172295DC84B8F72472FA20E11E5888BF066695</x:v>
      </x:c>
      <x:c r="F18" s="28" t="str">
        <x:v>98FD1B4B4067181D007340FF29172295DC84B8F72472FA20E11E5888BF066695</x:v>
      </x:c>
      <x:c r="G18" s="28" t="str">
        <x:v>MATCH</x:v>
      </x:c>
      <x:c r="H18" s="28" t="str">
        <x:v>98FD1B4B4067181D007340FF29172295DC84B8F72472FA20E11E5888BF066695</x:v>
      </x:c>
      <x:c r="I18" s="28" t="str">
        <x:v>MATCH</x:v>
      </x:c>
      <x:c r="J18" s="20" t="n">
        <x:v>1</x:v>
      </x:c>
      <x:c r="K18" s="20" t="n">
        <x:f>IF(I18="MATCH",1,0)</x:f>
        <x:v>1</x:v>
      </x:c>
    </x:row>
    <x:row r="19">
      <x:c r="A19" s="20" t="str">
        <x:v>board17_python_route</x:v>
      </x:c>
      <x:c r="B19" s="20" t="str">
        <x:v>D:\JZ_PhD\10_论文_Papers\Li\RHTS\liangyustability-master\test\00_失败尝试与候选路线\板块17_两类划分与缩聚候选路线\code\independent_recompute_global_routes.py</x:v>
      </x:c>
      <x:c r="C19" s="20" t="str">
        <x:v>board17/code/independent_recompute_global_routes.py</x:v>
      </x:c>
      <x:c r="D19" s="50" t="n">
        <x:v>23898</x:v>
      </x:c>
      <x:c r="E19" s="28" t="str">
        <x:v>A63193C91129D83BF69DED1F06C4F6727F32C608E1704C1C76E923FCCE0BAE57</x:v>
      </x:c>
      <x:c r="F19" s="28" t="str">
        <x:v>A63193C91129D83BF69DED1F06C4F6727F32C608E1704C1C76E923FCCE0BAE57</x:v>
      </x:c>
      <x:c r="G19" s="28" t="str">
        <x:v>MATCH</x:v>
      </x:c>
      <x:c r="H19" s="28" t="str">
        <x:v>A63193C91129D83BF69DED1F06C4F6727F32C608E1704C1C76E923FCCE0BAE57</x:v>
      </x:c>
      <x:c r="I19" s="28" t="str">
        <x:v>MATCH</x:v>
      </x:c>
      <x:c r="J19" s="20" t="n">
        <x:v>1</x:v>
      </x:c>
      <x:c r="K19" s="20" t="n">
        <x:f>IF(I19="MATCH",1,0)</x:f>
        <x:v>1</x:v>
      </x:c>
    </x:row>
    <x:row r="20">
      <x:c r="A20" s="20" t="str">
        <x:v>board17_primary_mat</x:v>
      </x:c>
      <x:c r="B20" s="20" t="str">
        <x:v>D:\JZ_PhD\10_论文_Papers\Li\RHTS\liangyustability-master\test\00_失败尝试与候选路线\板块17_两类划分与缩聚候选路线\outputs\global_routes_matlab.mat</x:v>
      </x:c>
      <x:c r="C20" s="20" t="str">
        <x:v>board17/outputs/global_routes_matlab.mat</x:v>
      </x:c>
      <x:c r="D20" s="50" t="n">
        <x:v>28817</x:v>
      </x:c>
      <x:c r="E20" s="28" t="str">
        <x:v>A58A830134259585ECD091BA37B3A69640E79D3AA10B5094E106F2EC01ED56ED</x:v>
      </x:c>
      <x:c r="F20" s="28" t="str">
        <x:v>A58A830134259585ECD091BA37B3A69640E79D3AA10B5094E106F2EC01ED56ED</x:v>
      </x:c>
      <x:c r="G20" s="28" t="str">
        <x:v>MATCH</x:v>
      </x:c>
      <x:c r="H20" s="28" t="str">
        <x:v>A58A830134259585ECD091BA37B3A69640E79D3AA10B5094E106F2EC01ED56ED</x:v>
      </x:c>
      <x:c r="I20" s="28" t="str">
        <x:v>MATCH</x:v>
      </x:c>
      <x:c r="J20" s="20" t="n">
        <x:v>1</x:v>
      </x:c>
      <x:c r="K20" s="20" t="n">
        <x:f>IF(I20="MATCH",1,0)</x:f>
        <x:v>1</x:v>
      </x:c>
    </x:row>
    <x:row r="21">
      <x:c r="A21" s="20" t="str">
        <x:v>board17_modal_csv</x:v>
      </x:c>
      <x:c r="B21" s="20" t="str">
        <x:v>D:\JZ_PhD\10_论文_Papers\Li\RHTS\liangyustability-master\test\00_失败尝试与候选路线\板块17_两类划分与缩聚候选路线\outputs\global_modal_frequencies.csv</x:v>
      </x:c>
      <x:c r="C21" s="20" t="str">
        <x:v>board17/outputs/global_modal_frequencies.csv</x:v>
      </x:c>
      <x:c r="D21" s="50" t="n">
        <x:v>6768</x:v>
      </x:c>
      <x:c r="E21" s="28" t="str">
        <x:v>25504A129F73B8EE7434E860CC9F02545B1665BA23E4F88A98E9EF0F706C18E7</x:v>
      </x:c>
      <x:c r="F21" s="28" t="str">
        <x:v>25504A129F73B8EE7434E860CC9F02545B1665BA23E4F88A98E9EF0F706C18E7</x:v>
      </x:c>
      <x:c r="G21" s="28" t="str">
        <x:v>MATCH</x:v>
      </x:c>
      <x:c r="H21" s="28" t="str">
        <x:v>25504A129F73B8EE7434E860CC9F02545B1665BA23E4F88A98E9EF0F706C18E7</x:v>
      </x:c>
      <x:c r="I21" s="28" t="str">
        <x:v>MATCH</x:v>
      </x:c>
      <x:c r="J21" s="20" t="n">
        <x:v>1</x:v>
      </x:c>
      <x:c r="K21" s="20" t="n">
        <x:f>IF(I21="MATCH",1,0)</x:f>
        <x:v>1</x:v>
      </x:c>
    </x:row>
    <x:row r="22">
      <x:c r="A22" s="20" t="str">
        <x:v>board17_modal_csv</x:v>
      </x:c>
      <x:c r="B22" s="20" t="str">
        <x:v>D:\JZ_PhD\10_论文_Papers\Li\RHTS\liangyustability-master\test\00_失败尝试与候选路线\板块17_两类划分与缩聚候选路线\outputs\independent_global_modal_results.csv</x:v>
      </x:c>
      <x:c r="C22" s="20" t="str">
        <x:v>board17/outputs/independent_global_modal_results.csv</x:v>
      </x:c>
      <x:c r="D22" s="50" t="n">
        <x:v>1453</x:v>
      </x:c>
      <x:c r="E22" s="28" t="str">
        <x:v>288931FAE212875D1C5E038A154EECC43A29EE1704BC25F9D4C0B7B5069A85DB</x:v>
      </x:c>
      <x:c r="F22" s="28" t="str">
        <x:v>288931FAE212875D1C5E038A154EECC43A29EE1704BC25F9D4C0B7B5069A85DB</x:v>
      </x:c>
      <x:c r="G22" s="28" t="str">
        <x:v>MATCH</x:v>
      </x:c>
      <x:c r="H22" s="28" t="str">
        <x:v>288931FAE212875D1C5E038A154EECC43A29EE1704BC25F9D4C0B7B5069A85DB</x:v>
      </x:c>
      <x:c r="I22" s="28" t="str">
        <x:v>MATCH</x:v>
      </x:c>
      <x:c r="J22" s="20" t="n">
        <x:v>1</x:v>
      </x:c>
      <x:c r="K22" s="20" t="n">
        <x:f>IF(I22="MATCH",1,0)</x:f>
        <x:v>1</x:v>
      </x:c>
    </x:row>
    <x:row r="23">
      <x:c r="A23" s="20" t="str">
        <x:v>board17_recovery_csv</x:v>
      </x:c>
      <x:c r="B23" s="20" t="str">
        <x:v>D:\JZ_PhD\10_论文_Papers\Li\RHTS\liangyustability-master\test\00_失败尝试与候选路线\板块17_两类划分与缩聚候选路线\outputs\global_recovery_matrices.csv</x:v>
      </x:c>
      <x:c r="C23" s="20" t="str">
        <x:v>board17/outputs/global_recovery_matrices.csv</x:v>
      </x:c>
      <x:c r="D23" s="50" t="n">
        <x:v>121560</x:v>
      </x:c>
      <x:c r="E23" s="28" t="str">
        <x:v>1E26A8C62986415B6F3B6BE779E0D39000C1F889C91B25C7864B1BD1DAEA4A80</x:v>
      </x:c>
      <x:c r="F23" s="28" t="str">
        <x:v>1E26A8C62986415B6F3B6BE779E0D39000C1F889C91B25C7864B1BD1DAEA4A80</x:v>
      </x:c>
      <x:c r="G23" s="28" t="str">
        <x:v>MATCH</x:v>
      </x:c>
      <x:c r="H23" s="28" t="str">
        <x:v>1E26A8C62986415B6F3B6BE779E0D39000C1F889C91B25C7864B1BD1DAEA4A80</x:v>
      </x:c>
      <x:c r="I23" s="28" t="str">
        <x:v>MATCH</x:v>
      </x:c>
      <x:c r="J23" s="20" t="n">
        <x:v>1</x:v>
      </x:c>
      <x:c r="K23" s="20" t="n">
        <x:f>IF(I23="MATCH",1,0)</x:f>
        <x:v>1</x:v>
      </x:c>
    </x:row>
    <x:row r="24">
      <x:c r="A24" s="20" t="str">
        <x:v>board17_matrix_csv</x:v>
      </x:c>
      <x:c r="B24" s="20" t="str">
        <x:v>D:\JZ_PhD\10_论文_Papers\Li\RHTS\liangyustability-master\test\00_失败尝试与候选路线\板块17_两类划分与缩聚候选路线\outputs\global_reduced_matrix_entries.csv</x:v>
      </x:c>
      <x:c r="C24" s="20" t="str">
        <x:v>board17/outputs/global_reduced_matrix_entries.csv</x:v>
      </x:c>
      <x:c r="D24" s="50" t="n">
        <x:v>62174</x:v>
      </x:c>
      <x:c r="E24" s="28" t="str">
        <x:v>EF688B4C6DF630DAF25CBB28A480EB93606901E73C47D8BF428135074EC613D5</x:v>
      </x:c>
      <x:c r="F24" s="28" t="str">
        <x:v>EF688B4C6DF630DAF25CBB28A480EB93606901E73C47D8BF428135074EC613D5</x:v>
      </x:c>
      <x:c r="G24" s="28" t="str">
        <x:v>MATCH</x:v>
      </x:c>
      <x:c r="H24" s="28" t="str">
        <x:v>EF688B4C6DF630DAF25CBB28A480EB93606901E73C47D8BF428135074EC613D5</x:v>
      </x:c>
      <x:c r="I24" s="28" t="str">
        <x:v>MATCH</x:v>
      </x:c>
      <x:c r="J24" s="20" t="n">
        <x:v>1</x:v>
      </x:c>
      <x:c r="K24" s="20" t="n">
        <x:f>IF(I24="MATCH",1,0)</x:f>
        <x:v>1</x:v>
      </x:c>
    </x:row>
    <x:row r="25">
      <x:c r="A25" s="20" t="str">
        <x:v>board17_contract_csv</x:v>
      </x:c>
      <x:c r="B25" s="20" t="str">
        <x:v>D:\JZ_PhD\10_论文_Papers\Li\RHTS\liangyustability-master\test\00_失败尝试与候选路线\板块17_两类划分与缩聚候选路线\outputs\contract_divisions.csv</x:v>
      </x:c>
      <x:c r="C25" s="20" t="str">
        <x:v>board17/outputs/contract_divisions.csv</x:v>
      </x:c>
      <x:c r="D25" s="50" t="n">
        <x:v>1710</x:v>
      </x:c>
      <x:c r="E25" s="28" t="str">
        <x:v>63C05563DEC75FD964A371D79CFC349FFD16B50563798349C049D1E0722D33EE</x:v>
      </x:c>
      <x:c r="F25" s="28" t="str">
        <x:v>63C05563DEC75FD964A371D79CFC349FFD16B50563798349C049D1E0722D33EE</x:v>
      </x:c>
      <x:c r="G25" s="28" t="str">
        <x:v>MATCH</x:v>
      </x:c>
      <x:c r="H25" s="28" t="str">
        <x:v>63C05563DEC75FD964A371D79CFC349FFD16B50563798349C049D1E0722D33EE</x:v>
      </x:c>
      <x:c r="I25" s="28" t="str">
        <x:v>MATCH</x:v>
      </x:c>
      <x:c r="J25" s="20" t="n">
        <x:v>1</x:v>
      </x:c>
      <x:c r="K25" s="20" t="n">
        <x:f>IF(I25="MATCH",1,0)</x:f>
        <x:v>1</x:v>
      </x:c>
    </x:row>
    <x:row r="26">
      <x:c r="A26" s="20" t="str">
        <x:v>board17_local_modal_csv</x:v>
      </x:c>
      <x:c r="B26" s="20" t="str">
        <x:v>D:\JZ_PhD\10_论文_Papers\Li\RHTS\liangyustability-master\test\00_失败尝试与候选路线\板块17_两类划分与缩聚候选路线\outputs\local_pd_modal_values.csv</x:v>
      </x:c>
      <x:c r="C26" s="20" t="str">
        <x:v>board17/outputs/local_pd_modal_values.csv</x:v>
      </x:c>
      <x:c r="D26" s="50" t="n">
        <x:v>2074</x:v>
      </x:c>
      <x:c r="E26" s="28" t="str">
        <x:v>7C02003722E687E563CE3ACBC9647D0CC3BF7FBC07EC291ACED4DAA8B3E6DBC2</x:v>
      </x:c>
      <x:c r="F26" s="28" t="str">
        <x:v>7C02003722E687E563CE3ACBC9647D0CC3BF7FBC07EC291ACED4DAA8B3E6DBC2</x:v>
      </x:c>
      <x:c r="G26" s="28" t="str">
        <x:v>MATCH</x:v>
      </x:c>
      <x:c r="H26" s="28" t="str">
        <x:v>7C02003722E687E563CE3ACBC9647D0CC3BF7FBC07EC291ACED4DAA8B3E6DBC2</x:v>
      </x:c>
      <x:c r="I26" s="28" t="str">
        <x:v>MATCH</x:v>
      </x:c>
      <x:c r="J26" s="20" t="n">
        <x:v>1</x:v>
      </x:c>
      <x:c r="K26" s="20" t="n">
        <x:f>IF(I26="MATCH",1,0)</x:f>
        <x:v>1</x:v>
      </x:c>
    </x:row>
    <x:row r="27">
      <x:c r="A27" s="20" t="str">
        <x:v>board17_local_primary_mat</x:v>
      </x:c>
      <x:c r="B27" s="20" t="str">
        <x:v>D:\JZ_PhD\10_论文_Papers\Li\RHTS\liangyustability-master\test\00_失败尝试与候选路线\板块17_两类划分与缩聚候选路线\outputs\local_pd_reductions.mat</x:v>
      </x:c>
      <x:c r="C27" s="20" t="str">
        <x:v>board17/outputs/local_pd_reductions.mat</x:v>
      </x:c>
      <x:c r="D27" s="50" t="n">
        <x:v>4285</x:v>
      </x:c>
      <x:c r="E27" s="28" t="str">
        <x:v>763C0BB0158F942E392246776D0B5D3926A71AFF69DB50473EFA41DE0263A36F</x:v>
      </x:c>
      <x:c r="F27" s="28" t="str">
        <x:v>763C0BB0158F942E392246776D0B5D3926A71AFF69DB50473EFA41DE0263A36F</x:v>
      </x:c>
      <x:c r="G27" s="28" t="str">
        <x:v>MATCH</x:v>
      </x:c>
      <x:c r="H27" s="28" t="str">
        <x:v>763C0BB0158F942E392246776D0B5D3926A71AFF69DB50473EFA41DE0263A36F</x:v>
      </x:c>
      <x:c r="I27" s="28" t="str">
        <x:v>MATCH</x:v>
      </x:c>
      <x:c r="J27" s="20" t="n">
        <x:v>1</x:v>
      </x:c>
      <x:c r="K27" s="20" t="n">
        <x:f>IF(I27="MATCH",1,0)</x:f>
        <x:v>1</x:v>
      </x:c>
    </x:row>
    <x:row r="28">
      <x:c r="A28" s="20" t="str">
        <x:v>board17_local_summary_csv</x:v>
      </x:c>
      <x:c r="B28" s="20" t="str">
        <x:v>D:\JZ_PhD\10_论文_Papers\Li\RHTS\liangyustability-master\test\00_失败尝试与候选路线\板块17_两类划分与缩聚候选路线\outputs\local_pd_reduction_summary.csv</x:v>
      </x:c>
      <x:c r="C28" s="20" t="str">
        <x:v>board17/outputs/local_pd_reduction_summary.csv</x:v>
      </x:c>
      <x:c r="D28" s="50" t="n">
        <x:v>242</x:v>
      </x:c>
      <x:c r="E28" s="28" t="str">
        <x:v>030CD8DAEEDE9359F07438017A21F64638567C6536A3DBC8823F99149E201D94</x:v>
      </x:c>
      <x:c r="F28" s="28" t="str">
        <x:v>030CD8DAEEDE9359F07438017A21F64638567C6536A3DBC8823F99149E201D94</x:v>
      </x:c>
      <x:c r="G28" s="28" t="str">
        <x:v>MATCH</x:v>
      </x:c>
      <x:c r="H28" s="28" t="str">
        <x:v>030CD8DAEEDE9359F07438017A21F64638567C6536A3DBC8823F99149E201D94</x:v>
      </x:c>
      <x:c r="I28" s="28" t="str">
        <x:v>MATCH</x:v>
      </x:c>
      <x:c r="J28" s="20" t="n">
        <x:v>1</x:v>
      </x:c>
      <x:c r="K28" s="20" t="n">
        <x:f>IF(I28="MATCH",1,0)</x:f>
        <x:v>1</x:v>
      </x:c>
    </x:row>
    <x:row r="29">
      <x:c r="A29" s="20" t="str">
        <x:v>board18_matlab_route</x:v>
      </x:c>
      <x:c r="B29" s="20" t="str">
        <x:v>D:\JZ_PhD\10_论文_Papers\Li\RHTS\liangyustability-master\test\00_失败尝试与候选路线\板块18_图3-5至图3-15逐图计算复现\code\run_board18_adapted.m</x:v>
      </x:c>
      <x:c r="C29" s="20" t="str">
        <x:v>board18/code/run_board18_adapted.m</x:v>
      </x:c>
      <x:c r="D29" s="50" t="n">
        <x:v>21594</x:v>
      </x:c>
      <x:c r="E29" s="28" t="str">
        <x:v>0FF24B675F2871B30ED6D0ACD543F6EFB4FFF74DB1CA8C5DFAD540F49F762932</x:v>
      </x:c>
      <x:c r="F29" s="28" t="str">
        <x:v>0FF24B675F2871B30ED6D0ACD543F6EFB4FFF74DB1CA8C5DFAD540F49F762932</x:v>
      </x:c>
      <x:c r="G29" s="28" t="str">
        <x:v>MATCH</x:v>
      </x:c>
      <x:c r="H29" s="28" t="str">
        <x:v>0FF24B675F2871B30ED6D0ACD543F6EFB4FFF74DB1CA8C5DFAD540F49F762932</x:v>
      </x:c>
      <x:c r="I29" s="28" t="str">
        <x:v>MATCH</x:v>
      </x:c>
      <x:c r="J29" s="20" t="n">
        <x:v>1</x:v>
      </x:c>
      <x:c r="K29" s="20" t="n">
        <x:f>IF(I29="MATCH",1,0)</x:f>
        <x:v>1</x:v>
      </x:c>
    </x:row>
    <x:row r="30">
      <x:c r="A30" s="20" t="str">
        <x:v>board18_python_route</x:v>
      </x:c>
      <x:c r="B30" s="20" t="str">
        <x:v>D:\JZ_PhD\10_论文_Papers\Li\RHTS\liangyustability-master\test\00_失败尝试与候选路线\板块18_图3-5至图3-15逐图计算复现\code\independent_recompute_board18.py</x:v>
      </x:c>
      <x:c r="C30" s="20" t="str">
        <x:v>board18/code/independent_recompute_board18.py</x:v>
      </x:c>
      <x:c r="D30" s="50" t="n">
        <x:v>46852</x:v>
      </x:c>
      <x:c r="E30" s="28" t="str">
        <x:v>AA2D791D9D924622A7B14331F06799CAE67C19A98D1E75F5D27A309E826AB1F9</x:v>
      </x:c>
      <x:c r="F30" s="28" t="str">
        <x:v>AA2D791D9D924622A7B14331F06799CAE67C19A98D1E75F5D27A309E826AB1F9</x:v>
      </x:c>
      <x:c r="G30" s="28" t="str">
        <x:v>MATCH</x:v>
      </x:c>
      <x:c r="H30" s="28" t="str">
        <x:v>AA2D791D9D924622A7B14331F06799CAE67C19A98D1E75F5D27A309E826AB1F9</x:v>
      </x:c>
      <x:c r="I30" s="28" t="str">
        <x:v>MATCH</x:v>
      </x:c>
      <x:c r="J30" s="20" t="n">
        <x:v>1</x:v>
      </x:c>
      <x:c r="K30" s="20" t="n">
        <x:f>IF(I30="MATCH",1,0)</x:f>
        <x:v>1</x:v>
      </x:c>
    </x:row>
    <x:row r="31">
      <x:c r="A31" s="20" t="str">
        <x:v>board18_generator</x:v>
      </x:c>
      <x:c r="B31" s="20" t="str">
        <x:v>D:\JZ_PhD\10_论文_Papers\Li\RHTS\liangyustability-master\test\00_失败尝试与候选路线\板块18_图3-5至图3-15逐图计算复现\input\current_reproduction_code\regenerate_chapter3_data.m</x:v>
      </x:c>
      <x:c r="C31" s="20" t="str">
        <x:v>board18/code/regenerate_chapter3_data.m</x:v>
      </x:c>
      <x:c r="D31" s="50" t="n">
        <x:v>21341</x:v>
      </x:c>
      <x:c r="E31" s="28" t="str">
        <x:v>CBD7D4BE3927DEC5C18D5C16FBE164528AE6DC022F0B81DB28BD93416F4E7CEE</x:v>
      </x:c>
      <x:c r="F31" s="28" t="str">
        <x:v>CBD7D4BE3927DEC5C18D5C16FBE164528AE6DC022F0B81DB28BD93416F4E7CEE</x:v>
      </x:c>
      <x:c r="G31" s="28" t="str">
        <x:v>MATCH</x:v>
      </x:c>
      <x:c r="H31" s="28" t="str">
        <x:v>CBD7D4BE3927DEC5C18D5C16FBE164528AE6DC022F0B81DB28BD93416F4E7CEE</x:v>
      </x:c>
      <x:c r="I31" s="28" t="str">
        <x:v>MATCH</x:v>
      </x:c>
      <x:c r="J31" s="20" t="n">
        <x:v>1</x:v>
      </x:c>
      <x:c r="K31" s="20" t="n">
        <x:f>IF(I31="MATCH",1,0)</x:f>
        <x:v>1</x:v>
      </x:c>
    </x:row>
    <x:row r="32">
      <x:c r="A32" s="20" t="str">
        <x:v>board18_response</x:v>
      </x:c>
      <x:c r="B32" s="20" t="str">
        <x:v>D:\JZ_PhD\10_论文_Papers\Li\RHTS\liangyustability-master\test\00_失败尝试与候选路线\板块18_图3-5至图3-15逐图计算复现\input\plotting_baseline\输入数据\第一类划分_ElCentro地震响应.csv</x:v>
      </x:c>
      <x:c r="C32" s="20" t="str">
        <x:v>board18/responses/第一类划分_ElCentro地震响应.csv</x:v>
      </x:c>
      <x:c r="D32" s="50" t="n">
        <x:v>6584073</x:v>
      </x:c>
      <x:c r="E32" s="28" t="str">
        <x:v>E7149DD6777B2127527393CE1D7B126B040576F0A535618BE33E882738ACFC40</x:v>
      </x:c>
      <x:c r="F32" s="28" t="str">
        <x:v>E7149DD6777B2127527393CE1D7B126B040576F0A535618BE33E882738ACFC40</x:v>
      </x:c>
      <x:c r="G32" s="28" t="str">
        <x:v>MATCH</x:v>
      </x:c>
      <x:c r="H32" s="28" t="str">
        <x:v>E7149DD6777B2127527393CE1D7B126B040576F0A535618BE33E882738ACFC40</x:v>
      </x:c>
      <x:c r="I32" s="28" t="str">
        <x:v>MATCH</x:v>
      </x:c>
      <x:c r="J32" s="20" t="n">
        <x:v>1</x:v>
      </x:c>
      <x:c r="K32" s="20" t="n">
        <x:f>IF(I32="MATCH",1,0)</x:f>
        <x:v>1</x:v>
      </x:c>
    </x:row>
    <x:row r="33">
      <x:c r="A33" s="20" t="str">
        <x:v>board18_response</x:v>
      </x:c>
      <x:c r="B33" s="20" t="str">
        <x:v>D:\JZ_PhD\10_论文_Papers\Li\RHTS\liangyustability-master\test\00_失败尝试与候选路线\板块18_图3-5至图3-15逐图计算复现\input\plotting_baseline\输入数据\第一类划分_ElCentro地震响应.mat</x:v>
      </x:c>
      <x:c r="C33" s="20" t="str">
        <x:v>board18/responses/第一类划分_ElCentro地震响应.mat</x:v>
      </x:c>
      <x:c r="D33" s="50" t="n">
        <x:v>2533924</x:v>
      </x:c>
      <x:c r="E33" s="28" t="str">
        <x:v>E16C5940B3E0C8D8F8FDFD57C5E4129D3670A855776A8970EAB4AAADA8D7091F</x:v>
      </x:c>
      <x:c r="F33" s="28" t="str">
        <x:v>E16C5940B3E0C8D8F8FDFD57C5E4129D3670A855776A8970EAB4AAADA8D7091F</x:v>
      </x:c>
      <x:c r="G33" s="28" t="str">
        <x:v>MATCH</x:v>
      </x:c>
      <x:c r="H33" s="28" t="str">
        <x:v>E16C5940B3E0C8D8F8FDFD57C5E4129D3670A855776A8970EAB4AAADA8D7091F</x:v>
      </x:c>
      <x:c r="I33" s="28" t="str">
        <x:v>MATCH</x:v>
      </x:c>
      <x:c r="J33" s="20" t="n">
        <x:v>1</x:v>
      </x:c>
      <x:c r="K33" s="20" t="n">
        <x:f>IF(I33="MATCH",1,0)</x:f>
        <x:v>1</x:v>
      </x:c>
    </x:row>
    <x:row r="34">
      <x:c r="A34" s="20" t="str">
        <x:v>board18_response</x:v>
      </x:c>
      <x:c r="B34" s="20" t="str">
        <x:v>D:\JZ_PhD\10_论文_Papers\Li\RHTS\liangyustability-master\test\00_失败尝试与候选路线\板块18_图3-5至图3-15逐图计算复现\input\plotting_baseline\输入数据\第二类划分_ElCentro地震响应.csv</x:v>
      </x:c>
      <x:c r="C34" s="20" t="str">
        <x:v>board18/responses/第二类划分_ElCentro地震响应.csv</x:v>
      </x:c>
      <x:c r="D34" s="50" t="n">
        <x:v>6589237</x:v>
      </x:c>
      <x:c r="E34" s="28" t="str">
        <x:v>2899DFD2C03B22AAEE701C7E4B3B70E40D49668531BB6734FA6B52E8246B5E5D</x:v>
      </x:c>
      <x:c r="F34" s="28" t="str">
        <x:v>2899DFD2C03B22AAEE701C7E4B3B70E40D49668531BB6734FA6B52E8246B5E5D</x:v>
      </x:c>
      <x:c r="G34" s="28" t="str">
        <x:v>MATCH</x:v>
      </x:c>
      <x:c r="H34" s="28" t="str">
        <x:v>2899DFD2C03B22AAEE701C7E4B3B70E40D49668531BB6734FA6B52E8246B5E5D</x:v>
      </x:c>
      <x:c r="I34" s="28" t="str">
        <x:v>MATCH</x:v>
      </x:c>
      <x:c r="J34" s="20" t="n">
        <x:v>1</x:v>
      </x:c>
      <x:c r="K34" s="20" t="n">
        <x:f>IF(I34="MATCH",1,0)</x:f>
        <x:v>1</x:v>
      </x:c>
    </x:row>
    <x:row r="35">
      <x:c r="A35" s="20" t="str">
        <x:v>board18_response</x:v>
      </x:c>
      <x:c r="B35" s="20" t="str">
        <x:v>D:\JZ_PhD\10_论文_Papers\Li\RHTS\liangyustability-master\test\00_失败尝试与候选路线\板块18_图3-5至图3-15逐图计算复现\input\plotting_baseline\输入数据\第二类划分_ElCentro地震响应.mat</x:v>
      </x:c>
      <x:c r="C35" s="20" t="str">
        <x:v>board18/responses/第二类划分_ElCentro地震响应.mat</x:v>
      </x:c>
      <x:c r="D35" s="50" t="n">
        <x:v>2534673</x:v>
      </x:c>
      <x:c r="E35" s="28" t="str">
        <x:v>B06E1A33B9C7684469319B2CF8D576F36CB294C7ACDE599C2B6C4EA44A06DC8C</x:v>
      </x:c>
      <x:c r="F35" s="28" t="str">
        <x:v>B06E1A33B9C7684469319B2CF8D576F36CB294C7ACDE599C2B6C4EA44A06DC8C</x:v>
      </x:c>
      <x:c r="G35" s="28" t="str">
        <x:v>MATCH</x:v>
      </x:c>
      <x:c r="H35" s="28" t="str">
        <x:v>B06E1A33B9C7684469319B2CF8D576F36CB294C7ACDE599C2B6C4EA44A06DC8C</x:v>
      </x:c>
      <x:c r="I35" s="28" t="str">
        <x:v>MATCH</x:v>
      </x:c>
      <x:c r="J35" s="20" t="n">
        <x:v>1</x:v>
      </x:c>
      <x:c r="K35" s="20" t="n">
        <x:f>IF(I35="MATCH",1,0)</x:f>
        <x:v>1</x:v>
      </x:c>
    </x:row>
    <x:row r="36">
      <x:c r="A36" s="20" t="str">
        <x:v>board18_response</x:v>
      </x:c>
      <x:c r="B36" s="20" t="str">
        <x:v>D:\JZ_PhD\10_论文_Papers\Li\RHTS\liangyustability-master\test\00_失败尝试与候选路线\板块18_图3-5至图3-15逐图计算复现\input\plotting_baseline\输入数据\第一类划分_Chirp响应.csv</x:v>
      </x:c>
      <x:c r="C36" s="20" t="str">
        <x:v>board18/responses/第一类划分_Chirp响应.csv</x:v>
      </x:c>
      <x:c r="D36" s="50" t="n">
        <x:v>7254991</x:v>
      </x:c>
      <x:c r="E36" s="28" t="str">
        <x:v>2FDC6B5BF3B48118A51DD147ECE32B6711CEFDCD702D88EEC64CFC4E6A13DF49</x:v>
      </x:c>
      <x:c r="F36" s="28" t="str">
        <x:v>2FDC6B5BF3B48118A51DD147ECE32B6711CEFDCD702D88EEC64CFC4E6A13DF49</x:v>
      </x:c>
      <x:c r="G36" s="28" t="str">
        <x:v>MATCH</x:v>
      </x:c>
      <x:c r="H36" s="28" t="str">
        <x:v>2FDC6B5BF3B48118A51DD147ECE32B6711CEFDCD702D88EEC64CFC4E6A13DF49</x:v>
      </x:c>
      <x:c r="I36" s="28" t="str">
        <x:v>MATCH</x:v>
      </x:c>
      <x:c r="J36" s="20" t="n">
        <x:v>1</x:v>
      </x:c>
      <x:c r="K36" s="20" t="n">
        <x:f>IF(I36="MATCH",1,0)</x:f>
        <x:v>1</x:v>
      </x:c>
    </x:row>
    <x:row r="37">
      <x:c r="A37" s="20" t="str">
        <x:v>board18_response</x:v>
      </x:c>
      <x:c r="B37" s="20" t="str">
        <x:v>D:\JZ_PhD\10_论文_Papers\Li\RHTS\liangyustability-master\test\00_失败尝试与候选路线\板块18_图3-5至图3-15逐图计算复现\input\plotting_baseline\输入数据\第一类划分_Chirp响应.mat</x:v>
      </x:c>
      <x:c r="C37" s="20" t="str">
        <x:v>board18/responses/第一类划分_Chirp响应.mat</x:v>
      </x:c>
      <x:c r="D37" s="50" t="n">
        <x:v>2878912</x:v>
      </x:c>
      <x:c r="E37" s="28" t="str">
        <x:v>9E917E14B79CE44F0C3FE0258D29EE8421459334CEEDACF8BECA0393BE59A801</x:v>
      </x:c>
      <x:c r="F37" s="28" t="str">
        <x:v>9E917E14B79CE44F0C3FE0258D29EE8421459334CEEDACF8BECA0393BE59A801</x:v>
      </x:c>
      <x:c r="G37" s="28" t="str">
        <x:v>MATCH</x:v>
      </x:c>
      <x:c r="H37" s="28" t="str">
        <x:v>9E917E14B79CE44F0C3FE0258D29EE8421459334CEEDACF8BECA0393BE59A801</x:v>
      </x:c>
      <x:c r="I37" s="28" t="str">
        <x:v>MATCH</x:v>
      </x:c>
      <x:c r="J37" s="20" t="n">
        <x:v>1</x:v>
      </x:c>
      <x:c r="K37" s="20" t="n">
        <x:f>IF(I37="MATCH",1,0)</x:f>
        <x:v>1</x:v>
      </x:c>
    </x:row>
    <x:row r="38">
      <x:c r="A38" s="20" t="str">
        <x:v>board18_response</x:v>
      </x:c>
      <x:c r="B38" s="20" t="str">
        <x:v>D:\JZ_PhD\10_论文_Papers\Li\RHTS\liangyustability-master\test\00_失败尝试与候选路线\板块18_图3-5至图3-15逐图计算复现\input\plotting_baseline\输入数据\第二类划分_Chirp响应.csv</x:v>
      </x:c>
      <x:c r="C38" s="20" t="str">
        <x:v>board18/responses/第二类划分_Chirp响应.csv</x:v>
      </x:c>
      <x:c r="D38" s="50" t="n">
        <x:v>7248756</x:v>
      </x:c>
      <x:c r="E38" s="28" t="str">
        <x:v>88919C2AFA4FC431EDB08772A1DCB091B6D8DC1445253C0A4D30334223040457</x:v>
      </x:c>
      <x:c r="F38" s="28" t="str">
        <x:v>88919C2AFA4FC431EDB08772A1DCB091B6D8DC1445253C0A4D30334223040457</x:v>
      </x:c>
      <x:c r="G38" s="28" t="str">
        <x:v>MATCH</x:v>
      </x:c>
      <x:c r="H38" s="28" t="str">
        <x:v>88919C2AFA4FC431EDB08772A1DCB091B6D8DC1445253C0A4D30334223040457</x:v>
      </x:c>
      <x:c r="I38" s="28" t="str">
        <x:v>MATCH</x:v>
      </x:c>
      <x:c r="J38" s="20" t="n">
        <x:v>1</x:v>
      </x:c>
      <x:c r="K38" s="20" t="n">
        <x:f>IF(I38="MATCH",1,0)</x:f>
        <x:v>1</x:v>
      </x:c>
    </x:row>
    <x:row r="39">
      <x:c r="A39" s="20" t="str">
        <x:v>board18_response</x:v>
      </x:c>
      <x:c r="B39" s="20" t="str">
        <x:v>D:\JZ_PhD\10_论文_Papers\Li\RHTS\liangyustability-master\test\00_失败尝试与候选路线\板块18_图3-5至图3-15逐图计算复现\input\plotting_baseline\输入数据\第二类划分_Chirp响应.mat</x:v>
      </x:c>
      <x:c r="C39" s="20" t="str">
        <x:v>board18/responses/第二类划分_Chirp响应.mat</x:v>
      </x:c>
      <x:c r="D39" s="50" t="n">
        <x:v>2879148</x:v>
      </x:c>
      <x:c r="E39" s="28" t="str">
        <x:v>DD78A7CF9A6CD0FE4542084AACF8F4CA68B51EF1AFE738F0CC04CD025A7D3001</x:v>
      </x:c>
      <x:c r="F39" s="28" t="str">
        <x:v>DD78A7CF9A6CD0FE4542084AACF8F4CA68B51EF1AFE738F0CC04CD025A7D3001</x:v>
      </x:c>
      <x:c r="G39" s="28" t="str">
        <x:v>MATCH</x:v>
      </x:c>
      <x:c r="H39" s="28" t="str">
        <x:v>DD78A7CF9A6CD0FE4542084AACF8F4CA68B51EF1AFE738F0CC04CD025A7D3001</x:v>
      </x:c>
      <x:c r="I39" s="28" t="str">
        <x:v>MATCH</x:v>
      </x:c>
      <x:c r="J39" s="20" t="n">
        <x:v>1</x:v>
      </x:c>
      <x:c r="K39" s="20" t="n">
        <x:f>IF(I39="MATCH",1,0)</x:f>
        <x:v>1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20" hidden="0" customWidth="1"/>
    <x:col min="4" max="4" width="12" hidden="0" customWidth="1"/>
    <x:col min="5" max="5" width="64" hidden="0" customWidth="1"/>
  </x:cols>
  <x:sheetData>
    <x:row r="1" ht="30" customHeight="1">
      <x:c r="A1" s="3" t="str">
        <x:v>工作簿自动验收检查</x:v>
      </x:c>
      <x:c r="B1" s="3"/>
      <x:c r="C1" s="3"/>
      <x:c r="D1" s="3"/>
      <x:c r="E1" s="3"/>
    </x:row>
    <x:row r="2" ht="36" customHeight="1">
      <x:c r="A2" s="7" t="str">
        <x:v>这里验证审计包是否忠实封装已核验事实；“PASS”不等于论文三张表整表闭合，整表状态见说明页。</x:v>
      </x:c>
      <x:c r="B2" s="7"/>
      <x:c r="C2" s="7"/>
      <x:c r="D2" s="7"/>
      <x:c r="E2" s="7"/>
    </x:row>
    <x:row r="4" ht="34" customHeight="1">
      <x:c r="A4" s="17" t="str">
        <x:v>检查项</x:v>
      </x:c>
      <x:c r="B4" s="17" t="str">
        <x:v>预期</x:v>
      </x:c>
      <x:c r="C4" s="17" t="str">
        <x:v>工作簿公式/实际</x:v>
      </x:c>
      <x:c r="D4" s="17" t="str">
        <x:v>状态</x:v>
      </x:c>
      <x:c r="E4" s="17" t="str">
        <x:v>解释</x:v>
      </x:c>
    </x:row>
    <x:row r="5">
      <x:c r="A5" s="20" t="str">
        <x:v>工作表数</x:v>
      </x:c>
      <x:c r="B5" s="28" t="n">
        <x:v>11</x:v>
      </x:c>
      <x:c r="C5" s="20" t="n">
        <x:v>11</x:v>
      </x:c>
      <x:c r="D5" s="38" t="str">
        <x:f>IF(B5=C5,"PASS","FAIL")</x:f>
        <x:v>PASS</x:v>
      </x:c>
      <x:c r="E5" s="20" t="str">
        <x:v>本脚本先创建全部11个工作表</x:v>
      </x:c>
    </x:row>
    <x:row r="6">
      <x:c r="A6" s="20" t="str">
        <x:v>冻结输入记录数</x:v>
      </x:c>
      <x:c r="B6" s="28" t="n">
        <x:v>35</x:v>
      </x:c>
      <x:c r="C6" s="20" t="n">
        <x:f>SUM('来源哈希'!J5:J39)</x:f>
        <x:v>35</x:v>
      </x:c>
      <x:c r="D6" s="38" t="str">
        <x:f>IF(B6=C6,"PASS","FAIL")</x:f>
        <x:v>PASS</x:v>
      </x:c>
      <x:c r="E6" s="20" t="str">
        <x:v>35份冻结副本</x:v>
      </x:c>
    </x:row>
    <x:row r="7">
      <x:c r="A7" s="20" t="str">
        <x:v>冻结输入实时哈希匹配数</x:v>
      </x:c>
      <x:c r="B7" s="28" t="n">
        <x:v>35</x:v>
      </x:c>
      <x:c r="C7" s="20" t="n">
        <x:f>SUM('来源哈希'!K5:K39)</x:f>
        <x:v>35</x:v>
      </x:c>
      <x:c r="D7" s="38" t="str">
        <x:f>IF(B7=C7,"PASS","FAIL")</x:f>
        <x:v>PASS</x:v>
      </x:c>
      <x:c r="E7" s="20" t="str">
        <x:v>35/35必须MATCH</x:v>
      </x:c>
    </x:row>
    <x:row r="8">
      <x:c r="A8" s="20" t="str">
        <x:v>表3-1单元格数</x:v>
      </x:c>
      <x:c r="B8" s="28" t="n">
        <x:v>8</x:v>
      </x:c>
      <x:c r="C8" s="20" t="n">
        <x:f>SUM('表3-1计算'!R5:R12)</x:f>
        <x:v>8</x:v>
      </x:c>
      <x:c r="D8" s="38" t="str">
        <x:f>IF(B8=C8,"PASS","FAIL")</x:f>
        <x:v>PASS</x:v>
      </x:c>
      <x:c r="E8" s="20" t="str">
        <x:v>两类划分×两方法×两阶</x:v>
      </x:c>
    </x:row>
    <x:row r="9">
      <x:c r="A9" s="20" t="str">
        <x:v>表3-1当前末位匹配数</x:v>
      </x:c>
      <x:c r="B9" s="28" t="n">
        <x:v>4</x:v>
      </x:c>
      <x:c r="C9" s="20" t="n">
        <x:f>SUM('表3-1计算'!L5:L12)</x:f>
        <x:v>4</x:v>
      </x:c>
      <x:c r="D9" s="38" t="str">
        <x:f>IF(B9=C9,"PASS","FAIL")</x:f>
        <x:v>PASS</x:v>
      </x:c>
      <x:c r="E9" s="20" t="str">
        <x:v>仅第一类划分4格闭合</x:v>
      </x:c>
    </x:row>
    <x:row r="10">
      <x:c r="A10" s="20" t="str">
        <x:v>表3-2单元格数</x:v>
      </x:c>
      <x:c r="B10" s="28" t="n">
        <x:v>8</x:v>
      </x:c>
      <x:c r="C10" s="20" t="n">
        <x:f>SUM('表3-2计算'!R5:R12)</x:f>
        <x:v>8</x:v>
      </x:c>
      <x:c r="D10" s="38" t="str">
        <x:f>IF(B10=C10,"PASS","FAIL")</x:f>
        <x:v>PASS</x:v>
      </x:c>
      <x:c r="E10" s="20" t="str">
        <x:v>两类划分×两方法×两阶</x:v>
      </x:c>
    </x:row>
    <x:row r="11">
      <x:c r="A11" s="20" t="str">
        <x:v>表3-2当前末位匹配数</x:v>
      </x:c>
      <x:c r="B11" s="28" t="n">
        <x:v>7</x:v>
      </x:c>
      <x:c r="C11" s="20" t="n">
        <x:f>SUM('表3-2计算'!M5:M12)</x:f>
        <x:v>7</x:v>
      </x:c>
      <x:c r="D11" s="38" t="str">
        <x:f>IF(B11=C11,"PASS","FAIL")</x:f>
        <x:v>PASS</x:v>
      </x:c>
      <x:c r="E11" s="20" t="str">
        <x:v>第二类CB第2阶未闭合</x:v>
      </x:c>
    </x:row>
    <x:row r="12">
      <x:c r="A12" s="20" t="str">
        <x:v>表3-3单元格数</x:v>
      </x:c>
      <x:c r="B12" s="28" t="n">
        <x:v>24</x:v>
      </x:c>
      <x:c r="C12" s="20" t="n">
        <x:f>SUM('表3-3计算'!U5:U28)</x:f>
        <x:v>24</x:v>
      </x:c>
      <x:c r="D12" s="38" t="str">
        <x:f>IF(B12=C12,"PASS","FAIL")</x:f>
        <x:v>PASS</x:v>
      </x:c>
      <x:c r="E12" s="20" t="str">
        <x:v>两类划分×(5个Chirp频段×2方法+El Centro×2方法)</x:v>
      </x:c>
    </x:row>
    <x:row r="13">
      <x:c r="A13" s="20" t="str">
        <x:v>表3-3当前末位匹配数</x:v>
      </x:c>
      <x:c r="B13" s="28" t="n">
        <x:v>13</x:v>
      </x:c>
      <x:c r="C13" s="20" t="n">
        <x:f>SUM('表3-3计算'!P5:P28)</x:f>
        <x:v>13</x:v>
      </x:c>
      <x:c r="D13" s="38" t="str">
        <x:f>IF(B13=C13,"PASS","FAIL")</x:f>
        <x:v>PASS</x:v>
      </x:c>
      <x:c r="E13" s="20" t="str">
        <x:v>第一类Chirp 9格和两组地震4格</x:v>
      </x:c>
    </x:row>
    <x:row r="14">
      <x:c r="A14" s="20" t="str">
        <x:v>统一证据单元格数</x:v>
      </x:c>
      <x:c r="B14" s="28" t="n">
        <x:v>40</x:v>
      </x:c>
      <x:c r="C14" s="20" t="n">
        <x:f>SUM('逐格证据'!T5:T44)</x:f>
        <x:v>40</x:v>
      </x:c>
      <x:c r="D14" s="38" t="str">
        <x:f>IF(B14=C14,"PASS","FAIL")</x:f>
        <x:v>PASS</x:v>
      </x:c>
      <x:c r="E14" s="20" t="str">
        <x:v>8+8+24</x:v>
      </x:c>
    </x:row>
    <x:row r="15">
      <x:c r="A15" s="20" t="str">
        <x:v>工作簿公式与Python一致数</x:v>
      </x:c>
      <x:c r="B15" s="28" t="n">
        <x:v>40</x:v>
      </x:c>
      <x:c r="C15" s="20" t="n">
        <x:f>SUM('逐格证据'!S5:S44)</x:f>
        <x:v>40</x:v>
      </x:c>
      <x:c r="D15" s="38" t="str">
        <x:f>IF(B15=C15,"PASS","FAIL")</x:f>
        <x:v>PASS</x:v>
      </x:c>
      <x:c r="E15" s="20" t="str">
        <x:v>每格绝对差≤论文合同B6</x:v>
      </x:c>
    </x:row>
    <x:row r="16">
      <x:c r="A16" s="20" t="str">
        <x:v>MATLAB与Python通过数</x:v>
      </x:c>
      <x:c r="B16" s="28" t="n">
        <x:v>40</x:v>
      </x:c>
      <x:c r="C16" s="20" t="n">
        <x:f>SUM('逐格证据'!N5:N44)</x:f>
        <x:v>40</x:v>
      </x:c>
      <x:c r="D16" s="38" t="str">
        <x:f>IF(B16=C16,"PASS","FAIL")</x:f>
        <x:v>PASS</x:v>
      </x:c>
      <x:c r="E16" s="20" t="str">
        <x:v>40个被选单元格均来自通过的交叉核对</x:v>
      </x:c>
    </x:row>
    <x:row r="17">
      <x:c r="A17" s="20" t="str">
        <x:v>公式错误扫描命中数</x:v>
      </x:c>
      <x:c r="B17" s="28" t="n">
        <x:v>0</x:v>
      </x:c>
      <x:c r="C17" s="20" t="n">
        <x:v>0</x:v>
      </x:c>
      <x:c r="D17" s="38" t="str">
        <x:f>IF(B17=C17,"PASS","FAIL")</x:f>
        <x:v>PASS</x:v>
      </x:c>
      <x:c r="E17" s="20" t="str">
        <x:v>脚本仅在导出前和重新导入后均为0时保存最终文件</x:v>
      </x:c>
    </x:row>
  </x:sheetData>
  <x:mergeCells>
    <x:mergeCell ref="A1:E1"/>
    <x:mergeCell ref="A2:E2"/>
  </x:mergeCells>
  <x:pageMargins left="0.7" right="0.7" top="0.75" bottom="0.75" header="0.3" footer="0.3"/>
</x:worksheet>
</file>